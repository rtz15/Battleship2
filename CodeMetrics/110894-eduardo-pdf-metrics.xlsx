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" sheetId="1" state="visible" r:id="rId1"/>
    <sheet xmlns:r="http://schemas.openxmlformats.org/officeDocument/2006/relationships" name="Package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Method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" fontId="0" fillId="5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30 Methods by Cyclomatic Complexity (CC)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'Method'!AL1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'Method'!$AH$2:$AH$31</f>
            </numRef>
          </cat>
          <val>
            <numRef>
              <f>'Method'!$AL$2:$AL$31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Cyclomatic Complexity (CC)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Metrics Combination (Top 30 Methods)</a:t>
            </a:r>
          </a:p>
        </rich>
      </tx>
    </title>
    <plotArea>
      <areaChart>
        <grouping val="stacked"/>
        <ser>
          <idx val="0"/>
          <order val="0"/>
          <tx>
            <strRef>
              <f>'Method'!AI1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'Method'!$AG$2:$AG$31</f>
            </numRef>
          </cat>
          <val>
            <numRef>
              <f>'Method'!$AI$2:$AI$31</f>
            </numRef>
          </val>
        </ser>
        <ser>
          <idx val="1"/>
          <order val="1"/>
          <tx>
            <strRef>
              <f>'Method'!AJ1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'Method'!$AG$2:$AG$31</f>
            </numRef>
          </cat>
          <val>
            <numRef>
              <f>'Method'!$AJ$2:$AJ$31</f>
            </numRef>
          </val>
        </ser>
        <ser>
          <idx val="2"/>
          <order val="2"/>
          <tx>
            <strRef>
              <f>'Method'!AK1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'Method'!$AG$2:$AG$31</f>
            </numRef>
          </cat>
          <val>
            <numRef>
              <f>'Method'!$AK$2:$AK$31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value (0..1)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39</col>
      <colOff>0</colOff>
      <row>1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39</col>
      <colOff>0</colOff>
      <row>27</row>
      <rowOff>0</rowOff>
    </from>
    <ext cx="792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5" customWidth="1" min="5" max="5"/>
    <col width="15" customWidth="1" min="6" max="6"/>
    <col width="13" customWidth="1" min="7" max="7"/>
    <col width="1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0" customWidth="1" min="28" max="28"/>
    <col width="13" customWidth="1" min="29" max="29"/>
    <col width="16" customWidth="1" min="30" max="30"/>
  </cols>
  <sheetData>
    <row r="1" ht="22" customHeight="1">
      <c r="A1" s="1" t="inlineStr">
        <is>
          <t>Project</t>
        </is>
      </c>
      <c r="B1" s="1" t="inlineStr">
        <is>
          <t>AHF</t>
        </is>
      </c>
      <c r="C1" s="1" t="inlineStr">
        <is>
          <t>AIF</t>
        </is>
      </c>
      <c r="D1" s="1" t="inlineStr">
        <is>
          <t>CF</t>
        </is>
      </c>
      <c r="E1" s="1" t="inlineStr">
        <is>
          <t>Effectiveness</t>
        </is>
      </c>
      <c r="F1" s="1" t="inlineStr">
        <is>
          <t>Extendibility</t>
        </is>
      </c>
      <c r="G1" s="1" t="inlineStr">
        <is>
          <t>Flexibility</t>
        </is>
      </c>
      <c r="H1" s="1" t="inlineStr">
        <is>
          <t>Functionality</t>
        </is>
      </c>
      <c r="I1" s="1" t="inlineStr">
        <is>
          <t>MHF</t>
        </is>
      </c>
      <c r="J1" s="1" t="inlineStr">
        <is>
          <t>MIF</t>
        </is>
      </c>
      <c r="K1" s="1" t="inlineStr">
        <is>
          <t>PF</t>
        </is>
      </c>
      <c r="L1" s="1" t="inlineStr">
        <is>
          <t>PLOC</t>
        </is>
      </c>
      <c r="M1" s="1" t="inlineStr">
        <is>
          <t>PNCSS</t>
        </is>
      </c>
      <c r="N1" s="1" t="inlineStr">
        <is>
          <t>PNOAC</t>
        </is>
      </c>
      <c r="O1" s="1" t="inlineStr">
        <is>
          <t>PNOCC</t>
        </is>
      </c>
      <c r="P1" s="1" t="inlineStr">
        <is>
          <t>PNOI</t>
        </is>
      </c>
      <c r="Q1" s="1" t="inlineStr">
        <is>
          <t>PNOKCO</t>
        </is>
      </c>
      <c r="R1" s="1" t="inlineStr">
        <is>
          <t>PNOKDC</t>
        </is>
      </c>
      <c r="S1" s="1" t="inlineStr">
        <is>
          <t>PNOKOBJ</t>
        </is>
      </c>
      <c r="T1" s="1" t="inlineStr">
        <is>
          <t>PNOKSC</t>
        </is>
      </c>
      <c r="U1" s="1" t="inlineStr">
        <is>
          <t>PNOSC</t>
        </is>
      </c>
      <c r="V1" s="1" t="inlineStr">
        <is>
          <t>PRCHEF</t>
        </is>
      </c>
      <c r="W1" s="1" t="inlineStr">
        <is>
          <t>PRCHER</t>
        </is>
      </c>
      <c r="X1" s="1" t="inlineStr">
        <is>
          <t>PRCHL</t>
        </is>
      </c>
      <c r="Y1" s="1" t="inlineStr">
        <is>
          <t>PRCHVC</t>
        </is>
      </c>
      <c r="Z1" s="1" t="inlineStr">
        <is>
          <t>PRHD</t>
        </is>
      </c>
      <c r="AA1" s="1" t="inlineStr">
        <is>
          <t>PRHVL</t>
        </is>
      </c>
      <c r="AB1" s="1" t="inlineStr">
        <is>
          <t>PRMI</t>
        </is>
      </c>
      <c r="AC1" s="1" t="inlineStr">
        <is>
          <t>Reusability</t>
        </is>
      </c>
      <c r="AD1" s="1" t="inlineStr">
        <is>
          <t>Understandability</t>
        </is>
      </c>
    </row>
    <row r="2">
      <c r="A2" t="inlineStr">
        <is>
          <t>Project</t>
        </is>
      </c>
      <c r="B2" s="2" t="n">
        <v>0</v>
      </c>
      <c r="C2" s="3" t="n">
        <v>0.0698</v>
      </c>
      <c r="D2" s="3" t="n">
        <v>0.7352</v>
      </c>
      <c r="E2" s="3" t="n">
        <v>1.5306</v>
      </c>
      <c r="F2" s="3" t="n">
        <v>2.169</v>
      </c>
      <c r="G2" s="3" t="n">
        <v>3.5765</v>
      </c>
      <c r="H2" s="3" t="n">
        <v>1.8757</v>
      </c>
      <c r="I2" s="2" t="n">
        <v>0</v>
      </c>
      <c r="J2" s="3" t="n">
        <v>0.3265</v>
      </c>
      <c r="K2" s="3" t="n">
        <v>0.4276</v>
      </c>
      <c r="L2" s="2" t="n">
        <v>1875</v>
      </c>
      <c r="M2" s="2" t="n">
        <v>1014</v>
      </c>
      <c r="N2" s="2" t="n">
        <v>1</v>
      </c>
      <c r="O2" s="2" t="n">
        <v>16</v>
      </c>
      <c r="P2" s="2" t="n">
        <v>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s="3" t="n">
        <v>2259972.4904</v>
      </c>
      <c r="W2" s="3" t="n">
        <v>10.6462</v>
      </c>
      <c r="X2" s="2" t="n">
        <v>3347</v>
      </c>
      <c r="Y2" s="2" t="n">
        <v>980</v>
      </c>
      <c r="Z2" s="3" t="n">
        <v>776.7537</v>
      </c>
      <c r="AA2" s="3" t="n">
        <v>22415.1127</v>
      </c>
      <c r="AB2" s="3" t="n">
        <v>0</v>
      </c>
      <c r="AC2" s="3" t="n">
        <v>1.4686</v>
      </c>
      <c r="AD2" s="3" t="n">
        <v>-2.1058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22" customHeight="1">
      <c r="A1" s="1" t="inlineStr">
        <is>
          <t>Project</t>
        </is>
      </c>
      <c r="B1" s="1" t="inlineStr">
        <is>
          <t>Package</t>
        </is>
      </c>
      <c r="C1" s="1" t="inlineStr">
        <is>
          <t>PLOC</t>
        </is>
      </c>
      <c r="D1" s="1" t="inlineStr">
        <is>
          <t>PNCSS</t>
        </is>
      </c>
      <c r="E1" s="1" t="inlineStr">
        <is>
          <t>A</t>
        </is>
      </c>
      <c r="F1" s="1" t="inlineStr">
        <is>
          <t>Ca</t>
        </is>
      </c>
      <c r="G1" s="1" t="inlineStr">
        <is>
          <t>Ce</t>
        </is>
      </c>
      <c r="H1" s="1" t="inlineStr">
        <is>
          <t>I</t>
        </is>
      </c>
      <c r="I1" s="1" t="inlineStr">
        <is>
          <t>D</t>
        </is>
      </c>
      <c r="J1" s="1" t="inlineStr">
        <is>
          <t>PAMI</t>
        </is>
      </c>
      <c r="K1" s="1" t="inlineStr">
        <is>
          <t>PAHD</t>
        </is>
      </c>
      <c r="L1" s="1" t="inlineStr">
        <is>
          <t>PACHEF</t>
        </is>
      </c>
      <c r="M1" s="1" t="inlineStr">
        <is>
          <t>PACHER</t>
        </is>
      </c>
      <c r="N1" s="1" t="inlineStr">
        <is>
          <t>PACHL</t>
        </is>
      </c>
      <c r="O1" s="1" t="inlineStr">
        <is>
          <t>PACHVC</t>
        </is>
      </c>
      <c r="P1" s="1" t="inlineStr">
        <is>
          <t>PAHVL</t>
        </is>
      </c>
      <c r="Q1" s="1" t="inlineStr">
        <is>
          <t>PNOAC</t>
        </is>
      </c>
      <c r="R1" s="1" t="inlineStr">
        <is>
          <t>PNOCC</t>
        </is>
      </c>
      <c r="S1" s="1" t="inlineStr">
        <is>
          <t>PNOI</t>
        </is>
      </c>
      <c r="T1" s="1" t="inlineStr">
        <is>
          <t>PNOKCO</t>
        </is>
      </c>
      <c r="U1" s="1" t="inlineStr">
        <is>
          <t>PNOKDC</t>
        </is>
      </c>
      <c r="V1" s="1" t="inlineStr">
        <is>
          <t>PNOKOBJ</t>
        </is>
      </c>
      <c r="W1" s="1" t="inlineStr">
        <is>
          <t>PNOKSC</t>
        </is>
      </c>
      <c r="X1" s="1" t="inlineStr">
        <is>
          <t>PNOSC</t>
        </is>
      </c>
    </row>
    <row r="2">
      <c r="A2" t="inlineStr">
        <is>
          <t>Project</t>
        </is>
      </c>
      <c r="B2" t="inlineStr">
        <is>
          <t>battleship</t>
        </is>
      </c>
      <c r="C2" s="2" t="n">
        <v>1867</v>
      </c>
      <c r="D2" s="2" t="n">
        <v>1013</v>
      </c>
      <c r="E2" s="3" t="n">
        <v>0.2727</v>
      </c>
      <c r="F2" s="2" t="n">
        <v>0</v>
      </c>
      <c r="G2" s="2" t="n">
        <v>11</v>
      </c>
      <c r="H2" s="3" t="n">
        <v>1</v>
      </c>
      <c r="I2" s="3" t="n">
        <v>0.2727</v>
      </c>
      <c r="J2" s="3" t="n">
        <v>0</v>
      </c>
      <c r="K2" s="3" t="n">
        <v>776.7537</v>
      </c>
      <c r="L2" s="3" t="n">
        <v>2259972.4904</v>
      </c>
      <c r="M2" s="3" t="n">
        <v>10.6462</v>
      </c>
      <c r="N2" s="2" t="n">
        <v>3347</v>
      </c>
      <c r="O2" s="2" t="n">
        <v>980</v>
      </c>
      <c r="P2" s="3" t="n">
        <v>22415.1127</v>
      </c>
      <c r="Q2" s="2" t="n">
        <v>1</v>
      </c>
      <c r="R2" s="2" t="n">
        <v>15</v>
      </c>
      <c r="S2" s="2" t="n">
        <v>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  <col width="11" customWidth="1" min="32" max="32"/>
  </cols>
  <sheetData>
    <row r="1" ht="22" customHeight="1">
      <c r="A1" s="1" t="inlineStr">
        <is>
          <t>Project</t>
        </is>
      </c>
      <c r="B1" s="1" t="inlineStr">
        <is>
          <t>Package</t>
        </is>
      </c>
      <c r="C1" s="1" t="inlineStr">
        <is>
          <t>Class</t>
        </is>
      </c>
      <c r="D1" s="1" t="inlineStr">
        <is>
          <t>WMC</t>
        </is>
      </c>
      <c r="E1" s="1" t="inlineStr">
        <is>
          <t>CLOC</t>
        </is>
      </c>
      <c r="F1" s="1" t="inlineStr">
        <is>
          <t>NCSS</t>
        </is>
      </c>
      <c r="G1" s="1" t="inlineStr">
        <is>
          <t>NOM</t>
        </is>
      </c>
      <c r="H1" s="1" t="inlineStr">
        <is>
          <t>NOA</t>
        </is>
      </c>
      <c r="I1" s="1" t="inlineStr">
        <is>
          <t>CBO</t>
        </is>
      </c>
      <c r="J1" s="1" t="inlineStr">
        <is>
          <t>RFC</t>
        </is>
      </c>
      <c r="K1" s="1" t="inlineStr">
        <is>
          <t>LCOM</t>
        </is>
      </c>
      <c r="L1" s="1" t="inlineStr">
        <is>
          <t>TCC</t>
        </is>
      </c>
      <c r="M1" s="1" t="inlineStr">
        <is>
          <t>WOC</t>
        </is>
      </c>
      <c r="N1" s="1" t="inlineStr">
        <is>
          <t>ATFD</t>
        </is>
      </c>
      <c r="O1" s="1" t="inlineStr">
        <is>
          <t>CCC</t>
        </is>
      </c>
      <c r="P1" s="1" t="inlineStr">
        <is>
          <t>DAC</t>
        </is>
      </c>
      <c r="Q1" s="1" t="inlineStr">
        <is>
          <t>DIT</t>
        </is>
      </c>
      <c r="R1" s="1" t="inlineStr">
        <is>
          <t>MPC</t>
        </is>
      </c>
      <c r="S1" s="1" t="inlineStr">
        <is>
          <t>SIZE2</t>
        </is>
      </c>
      <c r="T1" s="1" t="inlineStr">
        <is>
          <t>NOC</t>
        </is>
      </c>
      <c r="U1" s="1" t="inlineStr">
        <is>
          <t>NOAC</t>
        </is>
      </c>
      <c r="V1" s="1" t="inlineStr">
        <is>
          <t>NOAM</t>
        </is>
      </c>
      <c r="W1" s="1" t="inlineStr">
        <is>
          <t>NOO</t>
        </is>
      </c>
      <c r="X1" s="1" t="inlineStr">
        <is>
          <t>NOOM</t>
        </is>
      </c>
      <c r="Y1" s="1" t="inlineStr">
        <is>
          <t>NOPA</t>
        </is>
      </c>
      <c r="Z1" s="1" t="inlineStr">
        <is>
          <t>CMI</t>
        </is>
      </c>
      <c r="AA1" s="1" t="inlineStr">
        <is>
          <t>CHD</t>
        </is>
      </c>
      <c r="AB1" s="1" t="inlineStr">
        <is>
          <t>CHEF</t>
        </is>
      </c>
      <c r="AC1" s="1" t="inlineStr">
        <is>
          <t>CHER</t>
        </is>
      </c>
      <c r="AD1" s="1" t="inlineStr">
        <is>
          <t>CHL</t>
        </is>
      </c>
      <c r="AE1" s="1" t="inlineStr">
        <is>
          <t>CHVC</t>
        </is>
      </c>
      <c r="AF1" s="1" t="inlineStr">
        <is>
          <t>CHVL</t>
        </is>
      </c>
    </row>
    <row r="2">
      <c r="A2" t="inlineStr">
        <is>
          <t>Project</t>
        </is>
      </c>
      <c r="B2" t="inlineStr">
        <is>
          <t>battleship</t>
        </is>
      </c>
      <c r="C2" t="inlineStr">
        <is>
          <t>Barge</t>
        </is>
      </c>
      <c r="D2" s="2" t="n">
        <v>1</v>
      </c>
      <c r="E2" s="2" t="n">
        <v>11</v>
      </c>
      <c r="F2" s="2" t="n">
        <v>4</v>
      </c>
      <c r="G2" s="2" t="n">
        <v>1</v>
      </c>
      <c r="H2" s="2" t="n">
        <v>10</v>
      </c>
      <c r="I2" s="2" t="n">
        <v>5</v>
      </c>
      <c r="J2" s="2" t="n">
        <v>7</v>
      </c>
      <c r="K2" s="2" t="n">
        <v>0</v>
      </c>
      <c r="L2" s="3" t="n">
        <v>0</v>
      </c>
      <c r="M2" s="3" t="n">
        <v>0</v>
      </c>
      <c r="N2" s="2" t="n">
        <v>1</v>
      </c>
      <c r="O2" s="2" t="n">
        <v>0</v>
      </c>
      <c r="P2" s="2" t="n">
        <v>0</v>
      </c>
      <c r="Q2" s="2" t="n">
        <v>2</v>
      </c>
      <c r="R2" s="2" t="n">
        <v>5</v>
      </c>
      <c r="S2" s="2" t="n">
        <v>53</v>
      </c>
      <c r="T2" s="2" t="n">
        <v>0</v>
      </c>
      <c r="U2" s="2" t="n">
        <v>0</v>
      </c>
      <c r="V2" s="2" t="n">
        <v>0</v>
      </c>
      <c r="W2" s="2" t="n">
        <v>49</v>
      </c>
      <c r="X2" s="2" t="n">
        <v>0</v>
      </c>
      <c r="Y2" s="2" t="n">
        <v>0</v>
      </c>
      <c r="Z2" s="3" t="n">
        <v>64.6362</v>
      </c>
      <c r="AA2" s="3" t="n">
        <v>7.5</v>
      </c>
      <c r="AB2" s="3" t="n">
        <v>485.4378</v>
      </c>
      <c r="AC2" s="3" t="n">
        <v>0.0206</v>
      </c>
      <c r="AD2" s="2" t="n">
        <v>17</v>
      </c>
      <c r="AE2" s="2" t="n">
        <v>14</v>
      </c>
      <c r="AF2" s="3" t="n">
        <v>64.72499999999999</v>
      </c>
    </row>
    <row r="3">
      <c r="A3" t="inlineStr">
        <is>
          <t>Project</t>
        </is>
      </c>
      <c r="B3" t="inlineStr">
        <is>
          <t>battleship</t>
        </is>
      </c>
      <c r="C3" t="inlineStr">
        <is>
          <t>Caravel</t>
        </is>
      </c>
      <c r="D3" s="2" t="n">
        <v>9</v>
      </c>
      <c r="E3" s="2" t="n">
        <v>27</v>
      </c>
      <c r="F3" s="2" t="n">
        <v>28</v>
      </c>
      <c r="G3" s="2" t="n">
        <v>1</v>
      </c>
      <c r="H3" s="2" t="n">
        <v>10</v>
      </c>
      <c r="I3" s="2" t="n">
        <v>5</v>
      </c>
      <c r="J3" s="2" t="n">
        <v>8</v>
      </c>
      <c r="K3" s="2" t="n">
        <v>0</v>
      </c>
      <c r="L3" s="3" t="n">
        <v>0</v>
      </c>
      <c r="M3" s="3" t="n">
        <v>0</v>
      </c>
      <c r="N3" s="2" t="n">
        <v>1</v>
      </c>
      <c r="O3" s="2" t="n">
        <v>5</v>
      </c>
      <c r="P3" s="2" t="n">
        <v>0</v>
      </c>
      <c r="Q3" s="2" t="n">
        <v>2</v>
      </c>
      <c r="R3" s="2" t="n">
        <v>21</v>
      </c>
      <c r="S3" s="2" t="n">
        <v>53</v>
      </c>
      <c r="T3" s="2" t="n">
        <v>0</v>
      </c>
      <c r="U3" s="2" t="n">
        <v>0</v>
      </c>
      <c r="V3" s="2" t="n">
        <v>0</v>
      </c>
      <c r="W3" s="2" t="n">
        <v>49</v>
      </c>
      <c r="X3" s="2" t="n">
        <v>0</v>
      </c>
      <c r="Y3" s="2" t="n">
        <v>0</v>
      </c>
      <c r="Z3" s="3" t="n">
        <v>49.7385</v>
      </c>
      <c r="AA3" s="3" t="n">
        <v>30</v>
      </c>
      <c r="AB3" s="3" t="n">
        <v>14268.0854</v>
      </c>
      <c r="AC3" s="3" t="n">
        <v>0.1961</v>
      </c>
      <c r="AD3" s="2" t="n">
        <v>96</v>
      </c>
      <c r="AE3" s="2" t="n">
        <v>31</v>
      </c>
      <c r="AF3" s="3" t="n">
        <v>475.6028</v>
      </c>
    </row>
    <row r="4">
      <c r="A4" t="inlineStr">
        <is>
          <t>Project</t>
        </is>
      </c>
      <c r="B4" t="inlineStr">
        <is>
          <t>battleship</t>
        </is>
      </c>
      <c r="C4" t="inlineStr">
        <is>
          <t>Carrack</t>
        </is>
      </c>
      <c r="D4" s="2" t="n">
        <v>9</v>
      </c>
      <c r="E4" s="2" t="n">
        <v>27</v>
      </c>
      <c r="F4" s="2" t="n">
        <v>28</v>
      </c>
      <c r="G4" s="2" t="n">
        <v>1</v>
      </c>
      <c r="H4" s="2" t="n">
        <v>10</v>
      </c>
      <c r="I4" s="2" t="n">
        <v>5</v>
      </c>
      <c r="J4" s="2" t="n">
        <v>8</v>
      </c>
      <c r="K4" s="2" t="n">
        <v>0</v>
      </c>
      <c r="L4" s="3" t="n">
        <v>0</v>
      </c>
      <c r="M4" s="3" t="n">
        <v>0</v>
      </c>
      <c r="N4" s="2" t="n">
        <v>1</v>
      </c>
      <c r="O4" s="2" t="n">
        <v>5</v>
      </c>
      <c r="P4" s="2" t="n">
        <v>0</v>
      </c>
      <c r="Q4" s="2" t="n">
        <v>2</v>
      </c>
      <c r="R4" s="2" t="n">
        <v>21</v>
      </c>
      <c r="S4" s="2" t="n">
        <v>53</v>
      </c>
      <c r="T4" s="2" t="n">
        <v>0</v>
      </c>
      <c r="U4" s="2" t="n">
        <v>0</v>
      </c>
      <c r="V4" s="2" t="n">
        <v>0</v>
      </c>
      <c r="W4" s="2" t="n">
        <v>49</v>
      </c>
      <c r="X4" s="2" t="n">
        <v>0</v>
      </c>
      <c r="Y4" s="2" t="n">
        <v>0</v>
      </c>
      <c r="Z4" s="3" t="n">
        <v>49.7385</v>
      </c>
      <c r="AA4" s="3" t="n">
        <v>30</v>
      </c>
      <c r="AB4" s="3" t="n">
        <v>14268.0854</v>
      </c>
      <c r="AC4" s="3" t="n">
        <v>0.1961</v>
      </c>
      <c r="AD4" s="2" t="n">
        <v>96</v>
      </c>
      <c r="AE4" s="2" t="n">
        <v>31</v>
      </c>
      <c r="AF4" s="3" t="n">
        <v>475.6028</v>
      </c>
    </row>
    <row r="5">
      <c r="A5" t="inlineStr">
        <is>
          <t>Project</t>
        </is>
      </c>
      <c r="B5" t="inlineStr">
        <is>
          <t>battleship</t>
        </is>
      </c>
      <c r="C5" t="inlineStr">
        <is>
          <t>Compass</t>
        </is>
      </c>
      <c r="E5" s="2" t="n">
        <v>66</v>
      </c>
      <c r="F5" s="2" t="n">
        <v>34</v>
      </c>
      <c r="N5" s="2" t="n">
        <v>1</v>
      </c>
      <c r="O5" s="2" t="n">
        <v>1</v>
      </c>
      <c r="Z5" t="inlineStr">
        <is>
          <t>∞</t>
        </is>
      </c>
    </row>
    <row r="6">
      <c r="A6" t="inlineStr">
        <is>
          <t>Project</t>
        </is>
      </c>
      <c r="B6" t="inlineStr">
        <is>
          <t>battleship</t>
        </is>
      </c>
      <c r="C6" t="inlineStr">
        <is>
          <t>Fleet</t>
        </is>
      </c>
      <c r="D6" s="2" t="n">
        <v>35</v>
      </c>
      <c r="E6" s="2" t="n">
        <v>224</v>
      </c>
      <c r="F6" s="2" t="n">
        <v>71</v>
      </c>
      <c r="G6" s="2" t="n">
        <v>15</v>
      </c>
      <c r="H6" s="2" t="n">
        <v>2</v>
      </c>
      <c r="I6" s="2" t="n">
        <v>14</v>
      </c>
      <c r="J6" s="2" t="n">
        <v>33</v>
      </c>
      <c r="K6" s="2" t="n">
        <v>1</v>
      </c>
      <c r="L6" s="3" t="n">
        <v>0.359</v>
      </c>
      <c r="M6" s="3" t="n">
        <v>0.7143</v>
      </c>
      <c r="N6" s="2" t="n">
        <v>2</v>
      </c>
      <c r="O6" s="2" t="n">
        <v>17</v>
      </c>
      <c r="P6" s="2" t="n">
        <v>1</v>
      </c>
      <c r="Q6" s="2" t="n">
        <v>1</v>
      </c>
      <c r="R6" s="2" t="n">
        <v>34</v>
      </c>
      <c r="S6" s="2" t="n">
        <v>35</v>
      </c>
      <c r="T6" s="2" t="n">
        <v>0</v>
      </c>
      <c r="U6" s="2" t="n">
        <v>1</v>
      </c>
      <c r="V6" s="2" t="n">
        <v>14</v>
      </c>
      <c r="W6" s="2" t="n">
        <v>35</v>
      </c>
      <c r="X6" s="2" t="n">
        <v>0</v>
      </c>
      <c r="Y6" s="2" t="n">
        <v>0</v>
      </c>
      <c r="Z6" s="3" t="n">
        <v>26.2092</v>
      </c>
      <c r="AA6" s="3" t="n">
        <v>78.40000000000001</v>
      </c>
      <c r="AB6" s="3" t="n">
        <v>110381.7196</v>
      </c>
      <c r="AC6" s="3" t="n">
        <v>0.767</v>
      </c>
      <c r="AD6" s="2" t="n">
        <v>224</v>
      </c>
      <c r="AE6" s="2" t="n">
        <v>78</v>
      </c>
      <c r="AF6" s="3" t="n">
        <v>1407.9301</v>
      </c>
    </row>
    <row r="7">
      <c r="A7" t="inlineStr">
        <is>
          <t>Project</t>
        </is>
      </c>
      <c r="B7" t="inlineStr">
        <is>
          <t>battleship</t>
        </is>
      </c>
      <c r="C7" t="inlineStr">
        <is>
          <t>Frigate</t>
        </is>
      </c>
      <c r="D7" s="2" t="n">
        <v>9</v>
      </c>
      <c r="E7" s="2" t="n">
        <v>27</v>
      </c>
      <c r="F7" s="2" t="n">
        <v>28</v>
      </c>
      <c r="G7" s="2" t="n">
        <v>1</v>
      </c>
      <c r="H7" s="2" t="n">
        <v>10</v>
      </c>
      <c r="I7" s="2" t="n">
        <v>5</v>
      </c>
      <c r="J7" s="2" t="n">
        <v>8</v>
      </c>
      <c r="K7" s="2" t="n">
        <v>0</v>
      </c>
      <c r="L7" s="3" t="n">
        <v>0</v>
      </c>
      <c r="M7" s="3" t="n">
        <v>0</v>
      </c>
      <c r="N7" s="2" t="n">
        <v>1</v>
      </c>
      <c r="O7" s="2" t="n">
        <v>5</v>
      </c>
      <c r="P7" s="2" t="n">
        <v>0</v>
      </c>
      <c r="Q7" s="2" t="n">
        <v>2</v>
      </c>
      <c r="R7" s="2" t="n">
        <v>21</v>
      </c>
      <c r="S7" s="2" t="n">
        <v>53</v>
      </c>
      <c r="T7" s="2" t="n">
        <v>0</v>
      </c>
      <c r="U7" s="2" t="n">
        <v>0</v>
      </c>
      <c r="V7" s="2" t="n">
        <v>0</v>
      </c>
      <c r="W7" s="2" t="n">
        <v>49</v>
      </c>
      <c r="X7" s="2" t="n">
        <v>0</v>
      </c>
      <c r="Y7" s="2" t="n">
        <v>0</v>
      </c>
      <c r="Z7" s="3" t="n">
        <v>49.7385</v>
      </c>
      <c r="AA7" s="3" t="n">
        <v>30</v>
      </c>
      <c r="AB7" s="3" t="n">
        <v>14268.0854</v>
      </c>
      <c r="AC7" s="3" t="n">
        <v>0.1961</v>
      </c>
      <c r="AD7" s="2" t="n">
        <v>96</v>
      </c>
      <c r="AE7" s="2" t="n">
        <v>31</v>
      </c>
      <c r="AF7" s="3" t="n">
        <v>475.6028</v>
      </c>
    </row>
    <row r="8">
      <c r="A8" t="inlineStr">
        <is>
          <t>Project</t>
        </is>
      </c>
      <c r="B8" t="inlineStr">
        <is>
          <t>battleship</t>
        </is>
      </c>
      <c r="C8" t="inlineStr">
        <is>
          <t>Galleon</t>
        </is>
      </c>
      <c r="D8" s="2" t="n">
        <v>14</v>
      </c>
      <c r="E8" s="2" t="n">
        <v>72</v>
      </c>
      <c r="F8" s="2" t="n">
        <v>46</v>
      </c>
      <c r="G8" s="2" t="n">
        <v>5</v>
      </c>
      <c r="H8" s="2" t="n">
        <v>10</v>
      </c>
      <c r="I8" s="2" t="n">
        <v>5</v>
      </c>
      <c r="J8" s="2" t="n">
        <v>11</v>
      </c>
      <c r="K8" s="2" t="n">
        <v>0</v>
      </c>
      <c r="L8" s="3" t="n">
        <v>0</v>
      </c>
      <c r="M8" s="3" t="n">
        <v>1</v>
      </c>
      <c r="N8" s="2" t="n">
        <v>1</v>
      </c>
      <c r="O8" s="2" t="n">
        <v>6</v>
      </c>
      <c r="P8" s="2" t="n">
        <v>0</v>
      </c>
      <c r="Q8" s="2" t="n">
        <v>2</v>
      </c>
      <c r="R8" s="2" t="n">
        <v>49</v>
      </c>
      <c r="S8" s="2" t="n">
        <v>57</v>
      </c>
      <c r="T8" s="2" t="n">
        <v>0</v>
      </c>
      <c r="U8" s="2" t="n">
        <v>0</v>
      </c>
      <c r="V8" s="2" t="n">
        <v>4</v>
      </c>
      <c r="W8" s="2" t="n">
        <v>53</v>
      </c>
      <c r="X8" s="2" t="n">
        <v>0</v>
      </c>
      <c r="Y8" s="2" t="n">
        <v>0</v>
      </c>
      <c r="Z8" s="3" t="n">
        <v>38.0749</v>
      </c>
      <c r="AA8" s="3" t="n">
        <v>60</v>
      </c>
      <c r="AB8" s="3" t="n">
        <v>60989.296</v>
      </c>
      <c r="AC8" s="3" t="n">
        <v>0.5165</v>
      </c>
      <c r="AD8" s="2" t="n">
        <v>191</v>
      </c>
      <c r="AE8" s="2" t="n">
        <v>40</v>
      </c>
      <c r="AF8" s="3" t="n">
        <v>1016.4883</v>
      </c>
    </row>
    <row r="9">
      <c r="A9" t="inlineStr">
        <is>
          <t>Project</t>
        </is>
      </c>
      <c r="B9" t="inlineStr">
        <is>
          <t>battleship</t>
        </is>
      </c>
      <c r="C9" t="inlineStr">
        <is>
          <t>Game</t>
        </is>
      </c>
      <c r="D9" s="2" t="n">
        <v>82</v>
      </c>
      <c r="E9" s="2" t="n">
        <v>445</v>
      </c>
      <c r="F9" s="2" t="n">
        <v>286</v>
      </c>
      <c r="G9" s="2" t="n">
        <v>25</v>
      </c>
      <c r="H9" s="2" t="n">
        <v>17</v>
      </c>
      <c r="I9" s="2" t="n">
        <v>41</v>
      </c>
      <c r="J9" s="2" t="n">
        <v>104</v>
      </c>
      <c r="K9" s="2" t="n">
        <v>2</v>
      </c>
      <c r="L9" s="3" t="n">
        <v>0.1818</v>
      </c>
      <c r="M9" s="3" t="n">
        <v>0.5</v>
      </c>
      <c r="N9" s="2" t="n">
        <v>6</v>
      </c>
      <c r="O9" s="2" t="n">
        <v>62</v>
      </c>
      <c r="P9" s="2" t="n">
        <v>4</v>
      </c>
      <c r="Q9" s="2" t="n">
        <v>1</v>
      </c>
      <c r="R9" s="2" t="n">
        <v>161</v>
      </c>
      <c r="S9" s="2" t="n">
        <v>61</v>
      </c>
      <c r="T9" s="2" t="n">
        <v>0</v>
      </c>
      <c r="U9" s="2" t="n">
        <v>4</v>
      </c>
      <c r="V9" s="2" t="n">
        <v>24</v>
      </c>
      <c r="W9" s="2" t="n">
        <v>54</v>
      </c>
      <c r="X9" s="2" t="n">
        <v>0</v>
      </c>
      <c r="Y9" s="2" t="n">
        <v>0</v>
      </c>
      <c r="Z9" s="3" t="n">
        <v>14.4915</v>
      </c>
      <c r="AA9" s="3" t="n">
        <v>159.65</v>
      </c>
      <c r="AB9" s="3" t="n">
        <v>1201936.5004</v>
      </c>
      <c r="AC9" s="3" t="n">
        <v>3.7682</v>
      </c>
      <c r="AD9" s="2" t="n">
        <v>950</v>
      </c>
      <c r="AE9" s="2" t="n">
        <v>243</v>
      </c>
      <c r="AF9" s="3" t="n">
        <v>7528.5719</v>
      </c>
    </row>
    <row r="10">
      <c r="A10" t="inlineStr">
        <is>
          <t>Project</t>
        </is>
      </c>
      <c r="B10" t="inlineStr">
        <is>
          <t>battleship</t>
        </is>
      </c>
      <c r="C10" t="inlineStr">
        <is>
          <t>GameSummary</t>
        </is>
      </c>
      <c r="D10" s="2" t="n">
        <v>14</v>
      </c>
      <c r="E10" s="2" t="n">
        <v>17</v>
      </c>
      <c r="F10" s="2" t="n">
        <v>4</v>
      </c>
      <c r="G10" s="2" t="n">
        <v>14</v>
      </c>
      <c r="H10" s="2" t="n">
        <v>13</v>
      </c>
      <c r="I10" s="2" t="n">
        <v>4</v>
      </c>
      <c r="J10" s="2" t="n">
        <v>15</v>
      </c>
      <c r="K10" s="2" t="n">
        <v>0</v>
      </c>
      <c r="L10" s="3" t="n">
        <v>0</v>
      </c>
      <c r="M10" s="3" t="n">
        <v>0</v>
      </c>
      <c r="N10" s="2" t="n">
        <v>0</v>
      </c>
      <c r="O10" s="2" t="n">
        <v>0</v>
      </c>
      <c r="P10" s="2" t="n">
        <v>2</v>
      </c>
      <c r="Q10" s="2" t="n">
        <v>2</v>
      </c>
      <c r="R10" s="2" t="n">
        <v>2</v>
      </c>
      <c r="S10" s="2" t="n">
        <v>44</v>
      </c>
      <c r="U10" s="2" t="n">
        <v>13</v>
      </c>
      <c r="V10" s="2" t="n">
        <v>13</v>
      </c>
      <c r="W10" s="2" t="n">
        <v>31</v>
      </c>
      <c r="X10" s="2" t="n">
        <v>0</v>
      </c>
      <c r="Y10" s="2" t="n">
        <v>0</v>
      </c>
      <c r="Z10" s="3" t="n">
        <v>61.3665</v>
      </c>
      <c r="AA10" s="3" t="n">
        <v>4</v>
      </c>
      <c r="AB10" s="3" t="n">
        <v>175.7775</v>
      </c>
      <c r="AC10" s="3" t="n">
        <v>0.0105</v>
      </c>
      <c r="AD10" s="2" t="n">
        <v>17</v>
      </c>
      <c r="AE10" s="2" t="n">
        <v>6</v>
      </c>
      <c r="AF10" s="3" t="n">
        <v>43.9444</v>
      </c>
    </row>
    <row r="11">
      <c r="A11" t="inlineStr">
        <is>
          <t>Project</t>
        </is>
      </c>
      <c r="B11" t="inlineStr">
        <is>
          <t>battleship</t>
        </is>
      </c>
      <c r="C11" t="inlineStr">
        <is>
          <t>IFleet</t>
        </is>
      </c>
      <c r="E11" s="2" t="n">
        <v>0</v>
      </c>
      <c r="I11" s="2" t="n">
        <v>6</v>
      </c>
      <c r="N11" s="2" t="n">
        <v>0</v>
      </c>
      <c r="O11" s="2" t="n">
        <v>0</v>
      </c>
      <c r="Z11" s="3" t="n">
        <v>0</v>
      </c>
    </row>
    <row r="12">
      <c r="A12" t="inlineStr">
        <is>
          <t>Project</t>
        </is>
      </c>
      <c r="B12" t="inlineStr">
        <is>
          <t>battleship</t>
        </is>
      </c>
      <c r="C12" t="inlineStr">
        <is>
          <t>IGame</t>
        </is>
      </c>
      <c r="E12" s="2" t="n">
        <v>0</v>
      </c>
      <c r="F12" s="2" t="n">
        <v>1</v>
      </c>
      <c r="I12" s="2" t="n">
        <v>9</v>
      </c>
      <c r="N12" s="2" t="n">
        <v>0</v>
      </c>
      <c r="O12" s="2" t="n">
        <v>0</v>
      </c>
      <c r="Z12" s="3" t="n">
        <v>0</v>
      </c>
    </row>
    <row r="13">
      <c r="A13" t="inlineStr">
        <is>
          <t>Project</t>
        </is>
      </c>
      <c r="B13" t="inlineStr">
        <is>
          <t>battleship</t>
        </is>
      </c>
      <c r="C13" t="inlineStr">
        <is>
          <t>IMove</t>
        </is>
      </c>
      <c r="E13" s="2" t="n">
        <v>10</v>
      </c>
      <c r="I13" s="2" t="n">
        <v>11</v>
      </c>
      <c r="N13" s="2" t="n">
        <v>0</v>
      </c>
      <c r="O13" s="2" t="n">
        <v>1</v>
      </c>
      <c r="Z13" t="inlineStr">
        <is>
          <t>∞</t>
        </is>
      </c>
    </row>
    <row r="14">
      <c r="A14" t="inlineStr">
        <is>
          <t>Project</t>
        </is>
      </c>
      <c r="B14" t="inlineStr">
        <is>
          <t>battleship</t>
        </is>
      </c>
      <c r="C14" t="inlineStr">
        <is>
          <t>IPosition</t>
        </is>
      </c>
      <c r="E14" s="2" t="n">
        <v>0</v>
      </c>
      <c r="I14" s="2" t="n">
        <v>2</v>
      </c>
      <c r="N14" s="2" t="n">
        <v>0</v>
      </c>
      <c r="O14" s="2" t="n">
        <v>0</v>
      </c>
      <c r="Z14" s="3" t="n">
        <v>0</v>
      </c>
    </row>
    <row r="15">
      <c r="A15" t="inlineStr">
        <is>
          <t>Project</t>
        </is>
      </c>
      <c r="B15" t="inlineStr">
        <is>
          <t>battleship</t>
        </is>
      </c>
      <c r="C15" t="inlineStr">
        <is>
          <t>IShip</t>
        </is>
      </c>
      <c r="E15" s="2" t="n">
        <v>0</v>
      </c>
      <c r="I15" s="2" t="n">
        <v>6</v>
      </c>
      <c r="N15" s="2" t="n">
        <v>0</v>
      </c>
      <c r="O15" s="2" t="n">
        <v>0</v>
      </c>
      <c r="Z15" s="3" t="n">
        <v>0</v>
      </c>
    </row>
    <row r="16">
      <c r="A16" t="inlineStr">
        <is>
          <t>Project</t>
        </is>
      </c>
      <c r="B16" t="inlineStr">
        <is>
          <t>battleship</t>
        </is>
      </c>
      <c r="C16" t="inlineStr">
        <is>
          <t>Main</t>
        </is>
      </c>
      <c r="D16" s="2" t="n">
        <v>1</v>
      </c>
      <c r="E16" s="2" t="n">
        <v>10</v>
      </c>
      <c r="F16" s="2" t="n">
        <v>4</v>
      </c>
      <c r="G16" s="2" t="n">
        <v>1</v>
      </c>
      <c r="H16" s="2" t="n">
        <v>0</v>
      </c>
      <c r="I16" s="2" t="n">
        <v>5</v>
      </c>
      <c r="J16" s="2" t="n">
        <v>3</v>
      </c>
      <c r="K16" s="2" t="n">
        <v>0</v>
      </c>
      <c r="L16" s="3" t="n">
        <v>0</v>
      </c>
      <c r="M16" s="3" t="n">
        <v>1</v>
      </c>
      <c r="N16" s="2" t="n">
        <v>0</v>
      </c>
      <c r="O16" s="2" t="n">
        <v>0</v>
      </c>
      <c r="P16" s="2" t="n">
        <v>0</v>
      </c>
      <c r="Q16" s="2" t="n">
        <v>1</v>
      </c>
      <c r="R16" s="2" t="n">
        <v>2</v>
      </c>
      <c r="S16" s="2" t="n">
        <v>13</v>
      </c>
      <c r="T16" s="2" t="n">
        <v>0</v>
      </c>
      <c r="U16" s="2" t="n">
        <v>0</v>
      </c>
      <c r="V16" s="2" t="n">
        <v>1</v>
      </c>
      <c r="W16" s="2" t="n">
        <v>14</v>
      </c>
      <c r="X16" s="2" t="n">
        <v>0</v>
      </c>
      <c r="Y16" s="2" t="n">
        <v>0</v>
      </c>
      <c r="Z16" s="3" t="n">
        <v>68.2784</v>
      </c>
      <c r="AA16" s="3" t="n">
        <v>3</v>
      </c>
      <c r="AB16" s="3" t="n">
        <v>81</v>
      </c>
      <c r="AC16" s="3" t="n">
        <v>0.0062</v>
      </c>
      <c r="AD16" s="2" t="n">
        <v>9</v>
      </c>
      <c r="AE16" s="2" t="n">
        <v>8</v>
      </c>
      <c r="AF16" s="3" t="n">
        <v>27</v>
      </c>
    </row>
    <row r="17">
      <c r="A17" t="inlineStr">
        <is>
          <t>Project</t>
        </is>
      </c>
      <c r="B17" t="inlineStr">
        <is>
          <t>battleship</t>
        </is>
      </c>
      <c r="C17" t="inlineStr">
        <is>
          <t>Move</t>
        </is>
      </c>
      <c r="D17" s="2" t="n">
        <v>42</v>
      </c>
      <c r="E17" s="2" t="n">
        <v>156</v>
      </c>
      <c r="F17" s="2" t="n">
        <v>97</v>
      </c>
      <c r="G17" s="2" t="n">
        <v>6</v>
      </c>
      <c r="H17" s="2" t="n">
        <v>3</v>
      </c>
      <c r="I17" s="2" t="n">
        <v>24</v>
      </c>
      <c r="J17" s="2" t="n">
        <v>33</v>
      </c>
      <c r="K17" s="2" t="n">
        <v>2</v>
      </c>
      <c r="L17" s="3" t="n">
        <v>0.3333</v>
      </c>
      <c r="M17" s="3" t="n">
        <v>0.2</v>
      </c>
      <c r="N17" s="2" t="n">
        <v>5</v>
      </c>
      <c r="O17" s="2" t="n">
        <v>39</v>
      </c>
      <c r="P17" s="2" t="n">
        <v>1</v>
      </c>
      <c r="Q17" s="2" t="n">
        <v>1</v>
      </c>
      <c r="R17" s="2" t="n">
        <v>88</v>
      </c>
      <c r="S17" s="2" t="n">
        <v>27</v>
      </c>
      <c r="T17" s="2" t="n">
        <v>0</v>
      </c>
      <c r="U17" s="2" t="n">
        <v>3</v>
      </c>
      <c r="V17" s="2" t="n">
        <v>4</v>
      </c>
      <c r="W17" s="2" t="n">
        <v>25</v>
      </c>
      <c r="X17" s="2" t="n">
        <v>1</v>
      </c>
      <c r="Y17" s="2" t="n">
        <v>0</v>
      </c>
      <c r="Z17" s="3" t="n">
        <v>27.526</v>
      </c>
      <c r="AA17" s="3" t="n">
        <v>72.9552</v>
      </c>
      <c r="AB17" s="3" t="n">
        <v>203884.4635</v>
      </c>
      <c r="AC17" s="3" t="n">
        <v>1.1547</v>
      </c>
      <c r="AD17" s="2" t="n">
        <v>409</v>
      </c>
      <c r="AE17" s="2" t="n">
        <v>114</v>
      </c>
      <c r="AF17" s="3" t="n">
        <v>2794.652</v>
      </c>
    </row>
    <row r="18">
      <c r="A18" t="inlineStr">
        <is>
          <t>Project</t>
        </is>
      </c>
      <c r="B18" t="inlineStr">
        <is>
          <t>battleship</t>
        </is>
      </c>
      <c r="C18" t="inlineStr">
        <is>
          <t>MoveSummary</t>
        </is>
      </c>
      <c r="D18" s="2" t="n">
        <v>9</v>
      </c>
      <c r="E18" s="2" t="n">
        <v>11</v>
      </c>
      <c r="F18" s="2" t="n">
        <v>3</v>
      </c>
      <c r="G18" s="2" t="n">
        <v>9</v>
      </c>
      <c r="H18" s="2" t="n">
        <v>8</v>
      </c>
      <c r="I18" s="2" t="n">
        <v>3</v>
      </c>
      <c r="J18" s="2" t="n">
        <v>10</v>
      </c>
      <c r="K18" s="2" t="n">
        <v>0</v>
      </c>
      <c r="L18" s="3" t="n">
        <v>0</v>
      </c>
      <c r="M18" s="3" t="n">
        <v>0</v>
      </c>
      <c r="N18" s="2" t="n">
        <v>0</v>
      </c>
      <c r="O18" s="2" t="n">
        <v>0</v>
      </c>
      <c r="P18" s="2" t="n">
        <v>1</v>
      </c>
      <c r="Q18" s="2" t="n">
        <v>2</v>
      </c>
      <c r="R18" s="2" t="n">
        <v>1</v>
      </c>
      <c r="S18" s="2" t="n">
        <v>34</v>
      </c>
      <c r="U18" s="2" t="n">
        <v>8</v>
      </c>
      <c r="V18" s="2" t="n">
        <v>8</v>
      </c>
      <c r="W18" s="2" t="n">
        <v>26</v>
      </c>
      <c r="X18" s="2" t="n">
        <v>0</v>
      </c>
      <c r="Y18" s="2" t="n">
        <v>0</v>
      </c>
      <c r="Z18" s="3" t="n">
        <v>66.6447</v>
      </c>
      <c r="AA18" s="3" t="n">
        <v>4</v>
      </c>
      <c r="AB18" s="3" t="n">
        <v>120.7403</v>
      </c>
      <c r="AC18" s="3" t="n">
        <v>0.0081</v>
      </c>
      <c r="AD18" s="2" t="n">
        <v>13</v>
      </c>
      <c r="AE18" s="2" t="n">
        <v>5</v>
      </c>
      <c r="AF18" s="3" t="n">
        <v>30.1851</v>
      </c>
    </row>
    <row r="19">
      <c r="A19" t="inlineStr">
        <is>
          <t>Project</t>
        </is>
      </c>
      <c r="B19" t="inlineStr">
        <is>
          <t>battleship</t>
        </is>
      </c>
      <c r="C19" t="inlineStr">
        <is>
          <t>PdfExporter</t>
        </is>
      </c>
      <c r="D19" s="2" t="n">
        <v>10</v>
      </c>
      <c r="E19" s="2" t="n">
        <v>62</v>
      </c>
      <c r="F19" s="2" t="n">
        <v>49</v>
      </c>
      <c r="G19" s="2" t="n">
        <v>5</v>
      </c>
      <c r="H19" s="2" t="n">
        <v>1</v>
      </c>
      <c r="I19" s="2" t="n">
        <v>14</v>
      </c>
      <c r="J19" s="2" t="n">
        <v>41</v>
      </c>
      <c r="K19" s="2" t="n">
        <v>0</v>
      </c>
      <c r="L19" s="3" t="n">
        <v>0</v>
      </c>
      <c r="M19" s="3" t="n">
        <v>0.25</v>
      </c>
      <c r="N19" s="2" t="n">
        <v>1</v>
      </c>
      <c r="O19" s="2" t="n">
        <v>5</v>
      </c>
      <c r="P19" s="2" t="n">
        <v>1</v>
      </c>
      <c r="Q19" s="2" t="n">
        <v>1</v>
      </c>
      <c r="R19" s="2" t="n">
        <v>58</v>
      </c>
      <c r="S19" s="2" t="n">
        <v>14</v>
      </c>
      <c r="U19" s="2" t="n">
        <v>0</v>
      </c>
      <c r="V19" s="2" t="n">
        <v>4</v>
      </c>
      <c r="W19" s="2" t="n">
        <v>18</v>
      </c>
      <c r="X19" s="2" t="n">
        <v>0</v>
      </c>
      <c r="Y19" s="2" t="n">
        <v>0</v>
      </c>
      <c r="Z19" s="3" t="n">
        <v>38.8013</v>
      </c>
      <c r="AA19" s="3" t="n">
        <v>58.9756</v>
      </c>
      <c r="AB19" s="3" t="n">
        <v>76358.87390000001</v>
      </c>
      <c r="AC19" s="3" t="n">
        <v>0.6</v>
      </c>
      <c r="AD19" s="2" t="n">
        <v>198</v>
      </c>
      <c r="AE19" s="2" t="n">
        <v>93</v>
      </c>
      <c r="AF19" s="3" t="n">
        <v>1294.7534</v>
      </c>
    </row>
    <row r="20">
      <c r="A20" t="inlineStr">
        <is>
          <t>Project</t>
        </is>
      </c>
      <c r="B20" t="inlineStr">
        <is>
          <t>battleship</t>
        </is>
      </c>
      <c r="C20" t="inlineStr">
        <is>
          <t>Position</t>
        </is>
      </c>
      <c r="D20" s="2" t="n">
        <v>26</v>
      </c>
      <c r="E20" s="2" t="n">
        <v>189</v>
      </c>
      <c r="F20" s="2" t="n">
        <v>60</v>
      </c>
      <c r="G20" s="2" t="n">
        <v>17</v>
      </c>
      <c r="H20" s="2" t="n">
        <v>4</v>
      </c>
      <c r="I20" s="2" t="n">
        <v>10</v>
      </c>
      <c r="J20" s="2" t="n">
        <v>25</v>
      </c>
      <c r="K20" s="2" t="n">
        <v>3</v>
      </c>
      <c r="L20" s="3" t="n">
        <v>0.2364</v>
      </c>
      <c r="M20" s="3" t="n">
        <v>0.5333</v>
      </c>
      <c r="N20" s="2" t="n">
        <v>0</v>
      </c>
      <c r="O20" s="2" t="n">
        <v>7</v>
      </c>
      <c r="P20" s="2" t="n">
        <v>0</v>
      </c>
      <c r="Q20" s="2" t="n">
        <v>1</v>
      </c>
      <c r="R20" s="2" t="n">
        <v>14</v>
      </c>
      <c r="S20" s="2" t="n">
        <v>45</v>
      </c>
      <c r="T20" s="2" t="n">
        <v>0</v>
      </c>
      <c r="U20" s="2" t="n">
        <v>4</v>
      </c>
      <c r="V20" s="2" t="n">
        <v>12</v>
      </c>
      <c r="W20" s="2" t="n">
        <v>42</v>
      </c>
      <c r="X20" s="2" t="n">
        <v>3</v>
      </c>
      <c r="Y20" s="2" t="n">
        <v>0</v>
      </c>
      <c r="Z20" s="3" t="n">
        <v>27.9665</v>
      </c>
      <c r="AA20" s="3" t="n">
        <v>63.24</v>
      </c>
      <c r="AB20" s="3" t="n">
        <v>85936.238</v>
      </c>
      <c r="AC20" s="3" t="n">
        <v>0.6491</v>
      </c>
      <c r="AD20" s="2" t="n">
        <v>231</v>
      </c>
      <c r="AE20" s="2" t="n">
        <v>59</v>
      </c>
      <c r="AF20" s="3" t="n">
        <v>1358.8905</v>
      </c>
    </row>
    <row r="21">
      <c r="A21" t="inlineStr">
        <is>
          <t>Project</t>
        </is>
      </c>
      <c r="B21" t="inlineStr">
        <is>
          <t>battleship</t>
        </is>
      </c>
      <c r="C21" t="inlineStr">
        <is>
          <t>Ship</t>
        </is>
      </c>
      <c r="D21" s="2" t="n">
        <v>48</v>
      </c>
      <c r="E21" s="2" t="n">
        <v>336</v>
      </c>
      <c r="F21" s="2" t="n">
        <v>135</v>
      </c>
      <c r="G21" s="2" t="n">
        <v>19</v>
      </c>
      <c r="H21" s="2" t="n">
        <v>10</v>
      </c>
      <c r="I21" s="2" t="n">
        <v>17</v>
      </c>
      <c r="J21" s="2" t="n">
        <v>41</v>
      </c>
      <c r="K21" s="2" t="n">
        <v>5</v>
      </c>
      <c r="L21" s="3" t="n">
        <v>0</v>
      </c>
      <c r="M21" s="3" t="n">
        <v>0.6667</v>
      </c>
      <c r="N21" s="2" t="n">
        <v>1</v>
      </c>
      <c r="O21" s="2" t="n">
        <v>25</v>
      </c>
      <c r="P21" s="2" t="n">
        <v>5</v>
      </c>
      <c r="Q21" s="2" t="n">
        <v>1</v>
      </c>
      <c r="R21" s="2" t="n">
        <v>72</v>
      </c>
      <c r="S21" s="2" t="n">
        <v>52</v>
      </c>
      <c r="T21" s="2" t="n">
        <v>5</v>
      </c>
      <c r="U21" s="2" t="n">
        <v>5</v>
      </c>
      <c r="V21" s="2" t="n">
        <v>17</v>
      </c>
      <c r="W21" s="2" t="n">
        <v>48</v>
      </c>
      <c r="X21" s="2" t="n">
        <v>1</v>
      </c>
      <c r="Y21" s="2" t="n">
        <v>0</v>
      </c>
      <c r="Z21" s="3" t="n">
        <v>20.5399</v>
      </c>
      <c r="AA21" s="3" t="n">
        <v>80.3372</v>
      </c>
      <c r="AB21" s="3" t="n">
        <v>203399.5708</v>
      </c>
      <c r="AC21" s="3" t="n">
        <v>1.1529</v>
      </c>
      <c r="AD21" s="2" t="n">
        <v>390</v>
      </c>
      <c r="AE21" s="2" t="n">
        <v>90</v>
      </c>
      <c r="AF21" s="3" t="n">
        <v>2531.8227</v>
      </c>
    </row>
    <row r="22">
      <c r="A22" t="inlineStr">
        <is>
          <t>Project</t>
        </is>
      </c>
      <c r="B22" t="inlineStr">
        <is>
          <t>battleship</t>
        </is>
      </c>
      <c r="C22" t="inlineStr">
        <is>
          <t>ShotSummary</t>
        </is>
      </c>
      <c r="D22" s="2" t="n">
        <v>3</v>
      </c>
      <c r="E22" s="2" t="n">
        <v>4</v>
      </c>
      <c r="F22" s="2" t="n">
        <v>1</v>
      </c>
      <c r="G22" s="2" t="n">
        <v>3</v>
      </c>
      <c r="H22" s="2" t="n">
        <v>2</v>
      </c>
      <c r="I22" s="2" t="n">
        <v>2</v>
      </c>
      <c r="J22" s="2" t="n">
        <v>3</v>
      </c>
      <c r="K22" s="2" t="n">
        <v>0</v>
      </c>
      <c r="L22" s="3" t="n">
        <v>0</v>
      </c>
      <c r="M22" s="3" t="n">
        <v>0</v>
      </c>
      <c r="N22" s="2" t="n">
        <v>0</v>
      </c>
      <c r="O22" s="2" t="n">
        <v>0</v>
      </c>
      <c r="P22" s="2" t="n">
        <v>1</v>
      </c>
      <c r="Q22" s="2" t="n">
        <v>2</v>
      </c>
      <c r="R22" s="2" t="n">
        <v>0</v>
      </c>
      <c r="S22" s="2" t="n">
        <v>22</v>
      </c>
      <c r="U22" s="2" t="n">
        <v>2</v>
      </c>
      <c r="V22" s="2" t="n">
        <v>2</v>
      </c>
      <c r="W22" s="2" t="n">
        <v>20</v>
      </c>
      <c r="X22" s="2" t="n">
        <v>0</v>
      </c>
      <c r="Y22" s="2" t="n">
        <v>0</v>
      </c>
      <c r="Z22" s="3" t="n">
        <v>84.61109999999999</v>
      </c>
      <c r="AA22" s="3" t="n">
        <v>0</v>
      </c>
      <c r="AB22" s="3" t="n">
        <v>0</v>
      </c>
      <c r="AC22" s="3" t="n">
        <v>0</v>
      </c>
      <c r="AD22" s="2" t="n">
        <v>2</v>
      </c>
      <c r="AE22" s="2" t="n">
        <v>2</v>
      </c>
      <c r="AF22" s="3" t="n">
        <v>2</v>
      </c>
    </row>
    <row r="23">
      <c r="A23" t="inlineStr">
        <is>
          <t>Project</t>
        </is>
      </c>
      <c r="B23" t="inlineStr">
        <is>
          <t>battleship</t>
        </is>
      </c>
      <c r="C23" t="inlineStr">
        <is>
          <t>Tasks</t>
        </is>
      </c>
      <c r="D23" s="2" t="n">
        <v>35</v>
      </c>
      <c r="E23" s="2" t="n">
        <v>173</v>
      </c>
      <c r="F23" s="2" t="n">
        <v>134</v>
      </c>
      <c r="G23" s="2" t="n">
        <v>6</v>
      </c>
      <c r="H23" s="2" t="n">
        <v>11</v>
      </c>
      <c r="I23" s="2" t="n">
        <v>21</v>
      </c>
      <c r="J23" s="2" t="n">
        <v>45</v>
      </c>
      <c r="K23" s="2" t="n">
        <v>0</v>
      </c>
      <c r="L23" s="3" t="n">
        <v>0</v>
      </c>
      <c r="M23" s="3" t="n">
        <v>1</v>
      </c>
      <c r="N23" s="2" t="n">
        <v>2</v>
      </c>
      <c r="O23" s="2" t="n">
        <v>23</v>
      </c>
      <c r="P23" s="2" t="n">
        <v>2</v>
      </c>
      <c r="Q23" s="2" t="n">
        <v>1</v>
      </c>
      <c r="R23" s="2" t="n">
        <v>73</v>
      </c>
      <c r="S23" s="2" t="n">
        <v>13</v>
      </c>
      <c r="T23" s="2" t="n">
        <v>0</v>
      </c>
      <c r="U23" s="2" t="n">
        <v>0</v>
      </c>
      <c r="V23" s="2" t="n">
        <v>6</v>
      </c>
      <c r="W23" s="2" t="n">
        <v>19</v>
      </c>
      <c r="X23" s="2" t="n">
        <v>0</v>
      </c>
      <c r="Y23" s="2" t="n">
        <v>0</v>
      </c>
      <c r="Z23" s="3" t="n">
        <v>26.471</v>
      </c>
      <c r="AA23" s="3" t="n">
        <v>94.6957</v>
      </c>
      <c r="AB23" s="3" t="n">
        <v>273418.6167</v>
      </c>
      <c r="AC23" s="3" t="n">
        <v>1.4042</v>
      </c>
      <c r="AD23" s="2" t="n">
        <v>408</v>
      </c>
      <c r="AE23" s="2" t="n">
        <v>135</v>
      </c>
      <c r="AF23" s="3" t="n">
        <v>2887.3408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48" customWidth="1" min="4" max="4"/>
    <col width="48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3" customWidth="1" min="25" max="25"/>
    <col width="10" customWidth="1" min="26" max="26"/>
    <col width="10" customWidth="1" min="27" max="27"/>
    <col width="10" customWidth="1" min="28" max="28"/>
    <col width="11" customWidth="1" min="29" max="29"/>
    <col width="8" customWidth="1" min="33" max="33"/>
    <col width="42" customWidth="1" min="34" max="34"/>
    <col width="12" customWidth="1" min="35" max="35"/>
    <col width="12" customWidth="1" min="36" max="36"/>
    <col width="12" customWidth="1" min="37" max="37"/>
    <col width="8" customWidth="1" min="38" max="38"/>
  </cols>
  <sheetData>
    <row r="1" ht="22" customHeight="1">
      <c r="A1" s="4" t="inlineStr">
        <is>
          <t>Project</t>
        </is>
      </c>
      <c r="B1" s="4" t="inlineStr">
        <is>
          <t>Package</t>
        </is>
      </c>
      <c r="C1" s="4" t="inlineStr">
        <is>
          <t>Class</t>
        </is>
      </c>
      <c r="D1" s="1" t="inlineStr">
        <is>
          <t>Method</t>
        </is>
      </c>
      <c r="E1" s="1" t="inlineStr">
        <is>
          <t>Full Method</t>
        </is>
      </c>
      <c r="F1" s="5" t="inlineStr">
        <is>
          <t>CC</t>
        </is>
      </c>
      <c r="G1" s="5" t="inlineStr">
        <is>
          <t>NOPM</t>
        </is>
      </c>
      <c r="H1" s="5" t="inlineStr">
        <is>
          <t>LOC</t>
        </is>
      </c>
      <c r="I1" s="6" t="inlineStr">
        <is>
          <t>CC_norm</t>
        </is>
      </c>
      <c r="J1" s="6" t="inlineStr">
        <is>
          <t>NOPM_norm</t>
        </is>
      </c>
      <c r="K1" s="6" t="inlineStr">
        <is>
          <t>LOC_norm</t>
        </is>
      </c>
      <c r="L1" s="6" t="inlineStr">
        <is>
          <t>Norm_Total</t>
        </is>
      </c>
      <c r="M1" s="1" t="inlineStr">
        <is>
          <t>CCM</t>
        </is>
      </c>
      <c r="N1" s="1" t="inlineStr">
        <is>
          <t>CND</t>
        </is>
      </c>
      <c r="O1" s="1" t="inlineStr">
        <is>
          <t>MND</t>
        </is>
      </c>
      <c r="P1" s="1" t="inlineStr">
        <is>
          <t>LND</t>
        </is>
      </c>
      <c r="Q1" s="1" t="inlineStr">
        <is>
          <t>NOL</t>
        </is>
      </c>
      <c r="R1" s="1" t="inlineStr">
        <is>
          <t>NOAV</t>
        </is>
      </c>
      <c r="S1" s="1" t="inlineStr">
        <is>
          <t>CINT</t>
        </is>
      </c>
      <c r="T1" s="1" t="inlineStr">
        <is>
          <t>CDISP</t>
        </is>
      </c>
      <c r="U1" s="1" t="inlineStr">
        <is>
          <t>FDP</t>
        </is>
      </c>
      <c r="V1" s="1" t="inlineStr">
        <is>
          <t>LAA</t>
        </is>
      </c>
      <c r="W1" s="1" t="inlineStr">
        <is>
          <t>MMI</t>
        </is>
      </c>
      <c r="X1" s="1" t="inlineStr">
        <is>
          <t>HD</t>
        </is>
      </c>
      <c r="Y1" s="1" t="inlineStr">
        <is>
          <t>HEF</t>
        </is>
      </c>
      <c r="Z1" s="1" t="inlineStr">
        <is>
          <t>HER</t>
        </is>
      </c>
      <c r="AA1" s="1" t="inlineStr">
        <is>
          <t>HL</t>
        </is>
      </c>
      <c r="AB1" s="1" t="inlineStr">
        <is>
          <t>HVC</t>
        </is>
      </c>
      <c r="AC1" s="1" t="inlineStr">
        <is>
          <t>HVL</t>
        </is>
      </c>
      <c r="AG1" s="10" t="inlineStr">
        <is>
          <t>Rank</t>
        </is>
      </c>
      <c r="AH1" s="10" t="inlineStr">
        <is>
          <t>Full Method</t>
        </is>
      </c>
      <c r="AI1" s="10" t="inlineStr">
        <is>
          <t>CC_norm</t>
        </is>
      </c>
      <c r="AJ1" s="10" t="inlineStr">
        <is>
          <t>NOPM_norm</t>
        </is>
      </c>
      <c r="AK1" s="10" t="inlineStr">
        <is>
          <t>LOC_norm</t>
        </is>
      </c>
      <c r="AL1" s="10" t="inlineStr">
        <is>
          <t>CC</t>
        </is>
      </c>
    </row>
    <row r="2">
      <c r="A2" s="7" t="inlineStr">
        <is>
          <t>Project</t>
        </is>
      </c>
      <c r="B2" s="7" t="inlineStr">
        <is>
          <t>battleship</t>
        </is>
      </c>
      <c r="C2" s="7" t="inlineStr">
        <is>
          <t>Move</t>
        </is>
      </c>
      <c r="D2" t="inlineStr">
        <is>
          <t>processEnemyFire(boolean)</t>
        </is>
      </c>
      <c r="E2" t="inlineStr">
        <is>
          <t>Move.processEnemyFire(boolean)</t>
        </is>
      </c>
      <c r="F2" s="8" t="n">
        <v>37</v>
      </c>
      <c r="G2" s="8" t="n">
        <v>1</v>
      </c>
      <c r="H2" s="8" t="n">
        <v>130</v>
      </c>
      <c r="I2" s="9">
        <f>IF(MAX($F$2:$F$194)=MIN($F$2:$F$194),0,(F2-MIN($F$2:$F$194))/(MAX($F$2:$F$194)-MIN($F$2:$F$194)))</f>
        <v/>
      </c>
      <c r="J2" s="9">
        <f>IF(MAX($G$2:$G$194)=MIN($G$2:$G$194),0,(G2-MIN($G$2:$G$194))/(MAX($G$2:$G$194)-MIN($G$2:$G$194)))</f>
        <v/>
      </c>
      <c r="K2" s="9">
        <f>IF(MAX($H$2:$H$194)=MIN($H$2:$H$194),0,(H2-MIN($H$2:$H$194))/(MAX($H$2:$H$194)-MIN($H$2:$H$194)))</f>
        <v/>
      </c>
      <c r="L2" s="9">
        <f>I2+J2+K2</f>
        <v/>
      </c>
      <c r="M2" s="2" t="n">
        <v>39</v>
      </c>
      <c r="N2" s="2" t="n">
        <v>4</v>
      </c>
      <c r="O2" s="2" t="n">
        <v>5</v>
      </c>
      <c r="P2" s="2" t="n">
        <v>1</v>
      </c>
      <c r="Q2" s="2" t="n">
        <v>5</v>
      </c>
      <c r="R2" s="2" t="n">
        <v>31</v>
      </c>
      <c r="S2" s="2" t="n">
        <v>21</v>
      </c>
      <c r="T2" s="3" t="n">
        <v>0.4762</v>
      </c>
      <c r="U2" s="2" t="n">
        <v>5</v>
      </c>
      <c r="V2" s="3" t="n">
        <v>0.2</v>
      </c>
      <c r="W2" s="3" t="n">
        <v>29.7389</v>
      </c>
      <c r="X2" s="3" t="n">
        <v>72.9273</v>
      </c>
      <c r="Y2" s="3" t="n">
        <v>174716.8527</v>
      </c>
      <c r="Z2" s="3" t="n">
        <v>1.0418</v>
      </c>
      <c r="AA2" s="2" t="n">
        <v>363</v>
      </c>
      <c r="AB2" s="2" t="n">
        <v>97</v>
      </c>
      <c r="AC2" s="3" t="n">
        <v>2395.7684</v>
      </c>
      <c r="AG2" s="7" t="n">
        <v>1</v>
      </c>
      <c r="AH2" s="7" t="inlineStr">
        <is>
          <t>Move.processEnemyFire(boolean)</t>
        </is>
      </c>
      <c r="AI2" s="11">
        <f>IF(MAX($F$2:$F$194)=MIN($F$2:$F$194),0,(F2-MIN($F$2:$F$194))/(MAX($F$2:$F$194)-MIN($F$2:$F$194)))</f>
        <v/>
      </c>
      <c r="AJ2" s="11">
        <f>IF(MAX($G$2:$G$194)=MIN($G$2:$G$194),0,(G2-MIN($G$2:$G$194))/(MAX($G$2:$G$194)-MIN($G$2:$G$194)))</f>
        <v/>
      </c>
      <c r="AK2" s="11">
        <f>IF(MAX($H$2:$H$194)=MIN($H$2:$H$194),0,(H2-MIN($H$2:$H$194))/(MAX($H$2:$H$194)-MIN($H$2:$H$194)))</f>
        <v/>
      </c>
      <c r="AL2" s="12" t="n">
        <v>37</v>
      </c>
    </row>
    <row r="3">
      <c r="A3" s="7" t="inlineStr">
        <is>
          <t>Project</t>
        </is>
      </c>
      <c r="B3" s="7" t="inlineStr">
        <is>
          <t>battleship</t>
        </is>
      </c>
      <c r="C3" s="7" t="inlineStr">
        <is>
          <t>Game</t>
        </is>
      </c>
      <c r="D3" t="inlineStr">
        <is>
          <t>printBoard(IFleet, List&lt;IMove&gt;, boolean, boolean)</t>
        </is>
      </c>
      <c r="E3" t="inlineStr">
        <is>
          <t>Game.printBoard(IFleet, List&lt;IMove&gt;, boolean, boolean)</t>
        </is>
      </c>
      <c r="F3" s="8" t="n">
        <v>20</v>
      </c>
      <c r="G3" s="8" t="n">
        <v>4</v>
      </c>
      <c r="H3" s="8" t="n">
        <v>70</v>
      </c>
      <c r="I3" s="9">
        <f>IF(MAX($F$2:$F$194)=MIN($F$2:$F$194),0,(F3-MIN($F$2:$F$194))/(MAX($F$2:$F$194)-MIN($F$2:$F$194)))</f>
        <v/>
      </c>
      <c r="J3" s="9">
        <f>IF(MAX($G$2:$G$194)=MIN($G$2:$G$194),0,(G3-MIN($G$2:$G$194))/(MAX($G$2:$G$194)-MIN($G$2:$G$194)))</f>
        <v/>
      </c>
      <c r="K3" s="9">
        <f>IF(MAX($H$2:$H$194)=MIN($H$2:$H$194),0,(H3-MIN($H$2:$H$194))/(MAX($H$2:$H$194)-MIN($H$2:$H$194)))</f>
        <v/>
      </c>
      <c r="L3" s="9">
        <f>I3+J3+K3</f>
        <v/>
      </c>
      <c r="M3" s="2" t="n">
        <v>19</v>
      </c>
      <c r="N3" s="2" t="n">
        <v>3</v>
      </c>
      <c r="O3" s="2" t="n">
        <v>2</v>
      </c>
      <c r="P3" s="2" t="n">
        <v>2</v>
      </c>
      <c r="Q3" s="2" t="n">
        <v>12</v>
      </c>
      <c r="R3" s="2" t="n">
        <v>28</v>
      </c>
      <c r="S3" s="2" t="n">
        <v>12</v>
      </c>
      <c r="T3" s="3" t="n">
        <v>0.5</v>
      </c>
      <c r="U3" s="2" t="n">
        <v>1</v>
      </c>
      <c r="V3" s="3" t="n">
        <v>0.8571</v>
      </c>
      <c r="W3" s="3" t="n">
        <v>37.4205</v>
      </c>
      <c r="X3" s="3" t="n">
        <v>45.2683</v>
      </c>
      <c r="Y3" s="3" t="n">
        <v>61319.1412</v>
      </c>
      <c r="Z3" s="3" t="n">
        <v>0.5183</v>
      </c>
      <c r="AA3" s="2" t="n">
        <v>221</v>
      </c>
      <c r="AB3" s="2" t="n">
        <v>70</v>
      </c>
      <c r="AC3" s="3" t="n">
        <v>1354.5715</v>
      </c>
      <c r="AG3" s="7" t="n">
        <v>2</v>
      </c>
      <c r="AH3" s="7" t="inlineStr">
        <is>
          <t>Game.printBoard(IFleet, List&lt;IMove&gt;, boolean, boolean)</t>
        </is>
      </c>
      <c r="AI3" s="11">
        <f>IF(MAX($F$2:$F$194)=MIN($F$2:$F$194),0,(F3-MIN($F$2:$F$194))/(MAX($F$2:$F$194)-MIN($F$2:$F$194)))</f>
        <v/>
      </c>
      <c r="AJ3" s="11">
        <f>IF(MAX($G$2:$G$194)=MIN($G$2:$G$194),0,(G3-MIN($G$2:$G$194))/(MAX($G$2:$G$194)-MIN($G$2:$G$194)))</f>
        <v/>
      </c>
      <c r="AK3" s="11">
        <f>IF(MAX($H$2:$H$194)=MIN($H$2:$H$194),0,(H3-MIN($H$2:$H$194))/(MAX($H$2:$H$194)-MIN($H$2:$H$194)))</f>
        <v/>
      </c>
      <c r="AL3" s="12" t="n">
        <v>20</v>
      </c>
    </row>
    <row r="4">
      <c r="A4" s="7" t="inlineStr">
        <is>
          <t>Project</t>
        </is>
      </c>
      <c r="B4" s="7" t="inlineStr">
        <is>
          <t>battleship</t>
        </is>
      </c>
      <c r="C4" s="7" t="inlineStr">
        <is>
          <t>Tasks</t>
        </is>
      </c>
      <c r="D4" t="inlineStr">
        <is>
          <t>menu()</t>
        </is>
      </c>
      <c r="E4" t="inlineStr">
        <is>
          <t>Tasks.menu()</t>
        </is>
      </c>
      <c r="F4" s="8" t="n">
        <v>20</v>
      </c>
      <c r="G4" s="8" t="n">
        <v>0</v>
      </c>
      <c r="H4" s="8" t="n">
        <v>74</v>
      </c>
      <c r="I4" s="9">
        <f>IF(MAX($F$2:$F$194)=MIN($F$2:$F$194),0,(F4-MIN($F$2:$F$194))/(MAX($F$2:$F$194)-MIN($F$2:$F$194)))</f>
        <v/>
      </c>
      <c r="J4" s="9">
        <f>IF(MAX($G$2:$G$194)=MIN($G$2:$G$194),0,(G4-MIN($G$2:$G$194))/(MAX($G$2:$G$194)-MIN($G$2:$G$194)))</f>
        <v/>
      </c>
      <c r="K4" s="9">
        <f>IF(MAX($H$2:$H$194)=MIN($H$2:$H$194),0,(H4-MIN($H$2:$H$194))/(MAX($H$2:$H$194)-MIN($H$2:$H$194)))</f>
        <v/>
      </c>
      <c r="L4" s="9">
        <f>I4+J4+K4</f>
        <v/>
      </c>
      <c r="M4" s="2" t="n">
        <v>11</v>
      </c>
      <c r="N4" s="2" t="n">
        <v>2</v>
      </c>
      <c r="O4" s="2" t="n">
        <v>5</v>
      </c>
      <c r="P4" s="2" t="n">
        <v>2</v>
      </c>
      <c r="Q4" s="2" t="n">
        <v>2</v>
      </c>
      <c r="R4" s="2" t="n">
        <v>16</v>
      </c>
      <c r="S4" s="2" t="n">
        <v>15</v>
      </c>
      <c r="T4" s="3" t="n">
        <v>0.4706</v>
      </c>
      <c r="U4" s="2" t="n">
        <v>1</v>
      </c>
      <c r="V4" s="3" t="n">
        <v>0.8333</v>
      </c>
      <c r="W4" s="3" t="n">
        <v>38.1769</v>
      </c>
      <c r="X4" s="3" t="n">
        <v>55.2391</v>
      </c>
      <c r="Y4" s="3" t="n">
        <v>49081.3651</v>
      </c>
      <c r="Z4" s="3" t="n">
        <v>0.4468</v>
      </c>
      <c r="AA4" s="2" t="n">
        <v>153</v>
      </c>
      <c r="AB4" s="2" t="n">
        <v>56</v>
      </c>
      <c r="AC4" s="3" t="n">
        <v>888.5253</v>
      </c>
      <c r="AG4" s="7" t="n">
        <v>3</v>
      </c>
      <c r="AH4" s="7" t="inlineStr">
        <is>
          <t>Tasks.menu()</t>
        </is>
      </c>
      <c r="AI4" s="11">
        <f>IF(MAX($F$2:$F$194)=MIN($F$2:$F$194),0,(F4-MIN($F$2:$F$194))/(MAX($F$2:$F$194)-MIN($F$2:$F$194)))</f>
        <v/>
      </c>
      <c r="AJ4" s="11">
        <f>IF(MAX($G$2:$G$194)=MIN($G$2:$G$194),0,(G4-MIN($G$2:$G$194))/(MAX($G$2:$G$194)-MIN($G$2:$G$194)))</f>
        <v/>
      </c>
      <c r="AK4" s="11">
        <f>IF(MAX($H$2:$H$194)=MIN($H$2:$H$194),0,(H4-MIN($H$2:$H$194))/(MAX($H$2:$H$194)-MIN($H$2:$H$194)))</f>
        <v/>
      </c>
      <c r="AL4" s="12" t="n">
        <v>20</v>
      </c>
    </row>
    <row r="5">
      <c r="A5" s="7" t="inlineStr">
        <is>
          <t>Project</t>
        </is>
      </c>
      <c r="B5" s="7" t="inlineStr">
        <is>
          <t>battleship</t>
        </is>
      </c>
      <c r="C5" s="7" t="inlineStr">
        <is>
          <t>Game</t>
        </is>
      </c>
      <c r="D5" t="inlineStr">
        <is>
          <t>randomEnemyFire()</t>
        </is>
      </c>
      <c r="E5" t="inlineStr">
        <is>
          <t>Game.randomEnemyFire()</t>
        </is>
      </c>
      <c r="F5" s="8" t="n">
        <v>10</v>
      </c>
      <c r="G5" s="8" t="n">
        <v>0</v>
      </c>
      <c r="H5" s="8" t="n">
        <v>46</v>
      </c>
      <c r="I5" s="9">
        <f>IF(MAX($F$2:$F$194)=MIN($F$2:$F$194),0,(F5-MIN($F$2:$F$194))/(MAX($F$2:$F$194)-MIN($F$2:$F$194)))</f>
        <v/>
      </c>
      <c r="J5" s="9">
        <f>IF(MAX($G$2:$G$194)=MIN($G$2:$G$194),0,(G5-MIN($G$2:$G$194))/(MAX($G$2:$G$194)-MIN($G$2:$G$194)))</f>
        <v/>
      </c>
      <c r="K5" s="9">
        <f>IF(MAX($H$2:$H$194)=MIN($H$2:$H$194),0,(H5-MIN($H$2:$H$194))/(MAX($H$2:$H$194)-MIN($H$2:$H$194)))</f>
        <v/>
      </c>
      <c r="L5" s="9">
        <f>I5+J5+K5</f>
        <v/>
      </c>
      <c r="M5" s="2" t="n">
        <v>10</v>
      </c>
      <c r="N5" s="2" t="n">
        <v>2</v>
      </c>
      <c r="O5" s="2" t="n">
        <v>2</v>
      </c>
      <c r="P5" s="2" t="n">
        <v>2</v>
      </c>
      <c r="Q5" s="2" t="n">
        <v>6</v>
      </c>
      <c r="R5" s="2" t="n">
        <v>15</v>
      </c>
      <c r="S5" s="2" t="n">
        <v>14</v>
      </c>
      <c r="T5" s="3" t="n">
        <v>0.5625</v>
      </c>
      <c r="U5" s="2" t="n">
        <v>1</v>
      </c>
      <c r="V5" s="3" t="n">
        <v>0.8</v>
      </c>
      <c r="W5" s="3" t="n">
        <v>43.6398</v>
      </c>
      <c r="X5" s="3" t="n">
        <v>43.4211</v>
      </c>
      <c r="Y5" s="3" t="n">
        <v>29011.7968</v>
      </c>
      <c r="Z5" s="3" t="n">
        <v>0.3147</v>
      </c>
      <c r="AA5" s="2" t="n">
        <v>119</v>
      </c>
      <c r="AB5" s="2" t="n">
        <v>49</v>
      </c>
      <c r="AC5" s="3" t="n">
        <v>668.1505</v>
      </c>
      <c r="AG5" s="7" t="n">
        <v>4</v>
      </c>
      <c r="AH5" s="7" t="inlineStr">
        <is>
          <t>Game.randomEnemyFire()</t>
        </is>
      </c>
      <c r="AI5" s="11">
        <f>IF(MAX($F$2:$F$194)=MIN($F$2:$F$194),0,(F5-MIN($F$2:$F$194))/(MAX($F$2:$F$194)-MIN($F$2:$F$194)))</f>
        <v/>
      </c>
      <c r="AJ5" s="11">
        <f>IF(MAX($G$2:$G$194)=MIN($G$2:$G$194),0,(G5-MIN($G$2:$G$194))/(MAX($G$2:$G$194)-MIN($G$2:$G$194)))</f>
        <v/>
      </c>
      <c r="AK5" s="11">
        <f>IF(MAX($H$2:$H$194)=MIN($H$2:$H$194),0,(H5-MIN($H$2:$H$194))/(MAX($H$2:$H$194)-MIN($H$2:$H$194)))</f>
        <v/>
      </c>
      <c r="AL5" s="12" t="n">
        <v>10</v>
      </c>
    </row>
    <row r="6">
      <c r="A6" s="7" t="inlineStr">
        <is>
          <t>Project</t>
        </is>
      </c>
      <c r="B6" s="7" t="inlineStr">
        <is>
          <t>battleship</t>
        </is>
      </c>
      <c r="C6" s="7" t="inlineStr">
        <is>
          <t>Caravel</t>
        </is>
      </c>
      <c r="D6" t="inlineStr">
        <is>
          <t>Caravel(Compass, IPosition)</t>
        </is>
      </c>
      <c r="E6" t="inlineStr">
        <is>
          <t>Caravel.Caravel(Compass, IPosition)</t>
        </is>
      </c>
      <c r="F6" s="8" t="n">
        <v>9</v>
      </c>
      <c r="G6" s="8" t="n">
        <v>2</v>
      </c>
      <c r="H6" s="8" t="n">
        <v>27</v>
      </c>
      <c r="I6" s="9">
        <f>IF(MAX($F$2:$F$194)=MIN($F$2:$F$194),0,(F6-MIN($F$2:$F$194))/(MAX($F$2:$F$194)-MIN($F$2:$F$194)))</f>
        <v/>
      </c>
      <c r="J6" s="9">
        <f>IF(MAX($G$2:$G$194)=MIN($G$2:$G$194),0,(G6-MIN($G$2:$G$194))/(MAX($G$2:$G$194)-MIN($G$2:$G$194)))</f>
        <v/>
      </c>
      <c r="K6" s="9">
        <f>IF(MAX($H$2:$H$194)=MIN($H$2:$H$194),0,(H6-MIN($H$2:$H$194))/(MAX($H$2:$H$194)-MIN($H$2:$H$194)))</f>
        <v/>
      </c>
      <c r="L6" s="9">
        <f>I6+J6+K6</f>
        <v/>
      </c>
      <c r="M6" s="2" t="n">
        <v>5</v>
      </c>
      <c r="N6" s="2" t="n">
        <v>0</v>
      </c>
      <c r="O6" s="2" t="n">
        <v>1</v>
      </c>
      <c r="P6" s="2" t="n">
        <v>1</v>
      </c>
      <c r="Q6" s="2" t="n">
        <v>4</v>
      </c>
      <c r="R6" s="2" t="n">
        <v>10</v>
      </c>
      <c r="S6" s="2" t="n">
        <v>6</v>
      </c>
      <c r="T6" s="3" t="n">
        <v>0.5</v>
      </c>
      <c r="U6" s="2" t="n">
        <v>1</v>
      </c>
      <c r="V6" s="3" t="n">
        <v>0</v>
      </c>
      <c r="W6" s="3" t="n">
        <v>49.8962</v>
      </c>
      <c r="X6" s="3" t="n">
        <v>27</v>
      </c>
      <c r="Y6" s="3" t="n">
        <v>12198.3903</v>
      </c>
      <c r="Z6" s="3" t="n">
        <v>0.1766</v>
      </c>
      <c r="AA6" s="2" t="n">
        <v>93</v>
      </c>
      <c r="AB6" s="2" t="n">
        <v>29</v>
      </c>
      <c r="AC6" s="3" t="n">
        <v>451.7922</v>
      </c>
      <c r="AG6" s="7" t="n">
        <v>5</v>
      </c>
      <c r="AH6" s="7" t="inlineStr">
        <is>
          <t>Caravel.Caravel(Compass, IPosition)</t>
        </is>
      </c>
      <c r="AI6" s="11">
        <f>IF(MAX($F$2:$F$194)=MIN($F$2:$F$194),0,(F6-MIN($F$2:$F$194))/(MAX($F$2:$F$194)-MIN($F$2:$F$194)))</f>
        <v/>
      </c>
      <c r="AJ6" s="11">
        <f>IF(MAX($G$2:$G$194)=MIN($G$2:$G$194),0,(G6-MIN($G$2:$G$194))/(MAX($G$2:$G$194)-MIN($G$2:$G$194)))</f>
        <v/>
      </c>
      <c r="AK6" s="11">
        <f>IF(MAX($H$2:$H$194)=MIN($H$2:$H$194),0,(H6-MIN($H$2:$H$194))/(MAX($H$2:$H$194)-MIN($H$2:$H$194)))</f>
        <v/>
      </c>
      <c r="AL6" s="12" t="n">
        <v>9</v>
      </c>
    </row>
    <row r="7">
      <c r="A7" s="7" t="inlineStr">
        <is>
          <t>Project</t>
        </is>
      </c>
      <c r="B7" s="7" t="inlineStr">
        <is>
          <t>battleship</t>
        </is>
      </c>
      <c r="C7" s="7" t="inlineStr">
        <is>
          <t>Carrack</t>
        </is>
      </c>
      <c r="D7" t="inlineStr">
        <is>
          <t>Carrack(Compass, IPosition)</t>
        </is>
      </c>
      <c r="E7" t="inlineStr">
        <is>
          <t>Carrack.Carrack(Compass, IPosition)</t>
        </is>
      </c>
      <c r="F7" s="8" t="n">
        <v>9</v>
      </c>
      <c r="G7" s="8" t="n">
        <v>2</v>
      </c>
      <c r="H7" s="8" t="n">
        <v>27</v>
      </c>
      <c r="I7" s="9">
        <f>IF(MAX($F$2:$F$194)=MIN($F$2:$F$194),0,(F7-MIN($F$2:$F$194))/(MAX($F$2:$F$194)-MIN($F$2:$F$194)))</f>
        <v/>
      </c>
      <c r="J7" s="9">
        <f>IF(MAX($G$2:$G$194)=MIN($G$2:$G$194),0,(G7-MIN($G$2:$G$194))/(MAX($G$2:$G$194)-MIN($G$2:$G$194)))</f>
        <v/>
      </c>
      <c r="K7" s="9">
        <f>IF(MAX($H$2:$H$194)=MIN($H$2:$H$194),0,(H7-MIN($H$2:$H$194))/(MAX($H$2:$H$194)-MIN($H$2:$H$194)))</f>
        <v/>
      </c>
      <c r="L7" s="9">
        <f>I7+J7+K7</f>
        <v/>
      </c>
      <c r="M7" s="2" t="n">
        <v>5</v>
      </c>
      <c r="N7" s="2" t="n">
        <v>0</v>
      </c>
      <c r="O7" s="2" t="n">
        <v>1</v>
      </c>
      <c r="P7" s="2" t="n">
        <v>1</v>
      </c>
      <c r="Q7" s="2" t="n">
        <v>4</v>
      </c>
      <c r="R7" s="2" t="n">
        <v>10</v>
      </c>
      <c r="S7" s="2" t="n">
        <v>6</v>
      </c>
      <c r="T7" s="3" t="n">
        <v>0.5</v>
      </c>
      <c r="U7" s="2" t="n">
        <v>1</v>
      </c>
      <c r="V7" s="3" t="n">
        <v>0</v>
      </c>
      <c r="W7" s="3" t="n">
        <v>49.8962</v>
      </c>
      <c r="X7" s="3" t="n">
        <v>27</v>
      </c>
      <c r="Y7" s="3" t="n">
        <v>12198.3903</v>
      </c>
      <c r="Z7" s="3" t="n">
        <v>0.1766</v>
      </c>
      <c r="AA7" s="2" t="n">
        <v>93</v>
      </c>
      <c r="AB7" s="2" t="n">
        <v>29</v>
      </c>
      <c r="AC7" s="3" t="n">
        <v>451.7922</v>
      </c>
      <c r="AG7" s="7" t="n">
        <v>6</v>
      </c>
      <c r="AH7" s="7" t="inlineStr">
        <is>
          <t>Carrack.Carrack(Compass, IPosition)</t>
        </is>
      </c>
      <c r="AI7" s="11">
        <f>IF(MAX($F$2:$F$194)=MIN($F$2:$F$194),0,(F7-MIN($F$2:$F$194))/(MAX($F$2:$F$194)-MIN($F$2:$F$194)))</f>
        <v/>
      </c>
      <c r="AJ7" s="11">
        <f>IF(MAX($G$2:$G$194)=MIN($G$2:$G$194),0,(G7-MIN($G$2:$G$194))/(MAX($G$2:$G$194)-MIN($G$2:$G$194)))</f>
        <v/>
      </c>
      <c r="AK7" s="11">
        <f>IF(MAX($H$2:$H$194)=MIN($H$2:$H$194),0,(H7-MIN($H$2:$H$194))/(MAX($H$2:$H$194)-MIN($H$2:$H$194)))</f>
        <v/>
      </c>
      <c r="AL7" s="12" t="n">
        <v>9</v>
      </c>
    </row>
    <row r="8">
      <c r="A8" s="7" t="inlineStr">
        <is>
          <t>Project</t>
        </is>
      </c>
      <c r="B8" s="7" t="inlineStr">
        <is>
          <t>battleship</t>
        </is>
      </c>
      <c r="C8" s="7" t="inlineStr">
        <is>
          <t>Frigate</t>
        </is>
      </c>
      <c r="D8" t="inlineStr">
        <is>
          <t>Frigate(Compass, IPosition)</t>
        </is>
      </c>
      <c r="E8" t="inlineStr">
        <is>
          <t>Frigate.Frigate(Compass, IPosition)</t>
        </is>
      </c>
      <c r="F8" s="8" t="n">
        <v>9</v>
      </c>
      <c r="G8" s="8" t="n">
        <v>2</v>
      </c>
      <c r="H8" s="8" t="n">
        <v>27</v>
      </c>
      <c r="I8" s="9">
        <f>IF(MAX($F$2:$F$194)=MIN($F$2:$F$194),0,(F8-MIN($F$2:$F$194))/(MAX($F$2:$F$194)-MIN($F$2:$F$194)))</f>
        <v/>
      </c>
      <c r="J8" s="9">
        <f>IF(MAX($G$2:$G$194)=MIN($G$2:$G$194),0,(G8-MIN($G$2:$G$194))/(MAX($G$2:$G$194)-MIN($G$2:$G$194)))</f>
        <v/>
      </c>
      <c r="K8" s="9">
        <f>IF(MAX($H$2:$H$194)=MIN($H$2:$H$194),0,(H8-MIN($H$2:$H$194))/(MAX($H$2:$H$194)-MIN($H$2:$H$194)))</f>
        <v/>
      </c>
      <c r="L8" s="9">
        <f>I8+J8+K8</f>
        <v/>
      </c>
      <c r="M8" s="2" t="n">
        <v>5</v>
      </c>
      <c r="N8" s="2" t="n">
        <v>0</v>
      </c>
      <c r="O8" s="2" t="n">
        <v>1</v>
      </c>
      <c r="P8" s="2" t="n">
        <v>1</v>
      </c>
      <c r="Q8" s="2" t="n">
        <v>4</v>
      </c>
      <c r="R8" s="2" t="n">
        <v>10</v>
      </c>
      <c r="S8" s="2" t="n">
        <v>6</v>
      </c>
      <c r="T8" s="3" t="n">
        <v>0.5</v>
      </c>
      <c r="U8" s="2" t="n">
        <v>1</v>
      </c>
      <c r="V8" s="3" t="n">
        <v>0</v>
      </c>
      <c r="W8" s="3" t="n">
        <v>49.8962</v>
      </c>
      <c r="X8" s="3" t="n">
        <v>27</v>
      </c>
      <c r="Y8" s="3" t="n">
        <v>12198.3903</v>
      </c>
      <c r="Z8" s="3" t="n">
        <v>0.1766</v>
      </c>
      <c r="AA8" s="2" t="n">
        <v>93</v>
      </c>
      <c r="AB8" s="2" t="n">
        <v>29</v>
      </c>
      <c r="AC8" s="3" t="n">
        <v>451.7922</v>
      </c>
      <c r="AG8" s="7" t="n">
        <v>7</v>
      </c>
      <c r="AH8" s="7" t="inlineStr">
        <is>
          <t>Frigate.Frigate(Compass, IPosition)</t>
        </is>
      </c>
      <c r="AI8" s="11">
        <f>IF(MAX($F$2:$F$194)=MIN($F$2:$F$194),0,(F8-MIN($F$2:$F$194))/(MAX($F$2:$F$194)-MIN($F$2:$F$194)))</f>
        <v/>
      </c>
      <c r="AJ8" s="11">
        <f>IF(MAX($G$2:$G$194)=MIN($G$2:$G$194),0,(G8-MIN($G$2:$G$194))/(MAX($G$2:$G$194)-MIN($G$2:$G$194)))</f>
        <v/>
      </c>
      <c r="AK8" s="11">
        <f>IF(MAX($H$2:$H$194)=MIN($H$2:$H$194),0,(H8-MIN($H$2:$H$194))/(MAX($H$2:$H$194)-MIN($H$2:$H$194)))</f>
        <v/>
      </c>
      <c r="AL8" s="12" t="n">
        <v>9</v>
      </c>
    </row>
    <row r="9">
      <c r="A9" s="7" t="inlineStr">
        <is>
          <t>Project</t>
        </is>
      </c>
      <c r="B9" s="7" t="inlineStr">
        <is>
          <t>battleship</t>
        </is>
      </c>
      <c r="C9" s="7" t="inlineStr">
        <is>
          <t>Tasks</t>
        </is>
      </c>
      <c r="D9" t="inlineStr">
        <is>
          <t>readClassicPosition(Scanner)</t>
        </is>
      </c>
      <c r="E9" t="inlineStr">
        <is>
          <t>Tasks.readClassicPosition(Scanner)</t>
        </is>
      </c>
      <c r="F9" s="8" t="n">
        <v>8</v>
      </c>
      <c r="G9" s="8" t="n">
        <v>1</v>
      </c>
      <c r="H9" s="8" t="n">
        <v>32</v>
      </c>
      <c r="I9" s="9">
        <f>IF(MAX($F$2:$F$194)=MIN($F$2:$F$194),0,(F9-MIN($F$2:$F$194))/(MAX($F$2:$F$194)-MIN($F$2:$F$194)))</f>
        <v/>
      </c>
      <c r="J9" s="9">
        <f>IF(MAX($G$2:$G$194)=MIN($G$2:$G$194),0,(G9-MIN($G$2:$G$194))/(MAX($G$2:$G$194)-MIN($G$2:$G$194)))</f>
        <v/>
      </c>
      <c r="K9" s="9">
        <f>IF(MAX($H$2:$H$194)=MIN($H$2:$H$194),0,(H9-MIN($H$2:$H$194))/(MAX($H$2:$H$194)-MIN($H$2:$H$194)))</f>
        <v/>
      </c>
      <c r="L9" s="9">
        <f>I9+J9+K9</f>
        <v/>
      </c>
      <c r="M9" s="2" t="n">
        <v>7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8</v>
      </c>
      <c r="S9" s="2" t="n">
        <v>8</v>
      </c>
      <c r="T9" s="3" t="n">
        <v>0.375</v>
      </c>
      <c r="U9" s="2" t="n">
        <v>0</v>
      </c>
      <c r="V9" s="3" t="n">
        <v>0</v>
      </c>
      <c r="W9" s="3" t="n">
        <v>48.9793</v>
      </c>
      <c r="X9" s="3" t="n">
        <v>24.2857</v>
      </c>
      <c r="Y9" s="3" t="n">
        <v>8772.2395</v>
      </c>
      <c r="Z9" s="3" t="n">
        <v>0.1418</v>
      </c>
      <c r="AA9" s="2" t="n">
        <v>71</v>
      </c>
      <c r="AB9" s="2" t="n">
        <v>34</v>
      </c>
      <c r="AC9" s="3" t="n">
        <v>361.2099</v>
      </c>
      <c r="AG9" s="7" t="n">
        <v>8</v>
      </c>
      <c r="AH9" s="7" t="inlineStr">
        <is>
          <t>Tasks.readClassicPosition(Scanner)</t>
        </is>
      </c>
      <c r="AI9" s="11">
        <f>IF(MAX($F$2:$F$194)=MIN($F$2:$F$194),0,(F9-MIN($F$2:$F$194))/(MAX($F$2:$F$194)-MIN($F$2:$F$194)))</f>
        <v/>
      </c>
      <c r="AJ9" s="11">
        <f>IF(MAX($G$2:$G$194)=MIN($G$2:$G$194),0,(G9-MIN($G$2:$G$194))/(MAX($G$2:$G$194)-MIN($G$2:$G$194)))</f>
        <v/>
      </c>
      <c r="AK9" s="11">
        <f>IF(MAX($H$2:$H$194)=MIN($H$2:$H$194),0,(H9-MIN($H$2:$H$194))/(MAX($H$2:$H$194)-MIN($H$2:$H$194)))</f>
        <v/>
      </c>
      <c r="AL9" s="12" t="n">
        <v>8</v>
      </c>
    </row>
    <row r="10">
      <c r="A10" s="7" t="inlineStr">
        <is>
          <t>Project</t>
        </is>
      </c>
      <c r="B10" s="7" t="inlineStr">
        <is>
          <t>battleship</t>
        </is>
      </c>
      <c r="C10" s="7" t="inlineStr">
        <is>
          <t>Ship</t>
        </is>
      </c>
      <c r="D10" t="inlineStr">
        <is>
          <t>buildShip(String, Compass, Position)</t>
        </is>
      </c>
      <c r="E10" t="inlineStr">
        <is>
          <t>Ship.buildShip(String, Compass, Position)</t>
        </is>
      </c>
      <c r="F10" s="8" t="n">
        <v>7</v>
      </c>
      <c r="G10" s="8" t="n">
        <v>3</v>
      </c>
      <c r="H10" s="8" t="n">
        <v>36</v>
      </c>
      <c r="I10" s="9">
        <f>IF(MAX($F$2:$F$194)=MIN($F$2:$F$194),0,(F10-MIN($F$2:$F$194))/(MAX($F$2:$F$194)-MIN($F$2:$F$194)))</f>
        <v/>
      </c>
      <c r="J10" s="9">
        <f>IF(MAX($G$2:$G$194)=MIN($G$2:$G$194),0,(G10-MIN($G$2:$G$194))/(MAX($G$2:$G$194)-MIN($G$2:$G$194)))</f>
        <v/>
      </c>
      <c r="K10" s="9">
        <f>IF(MAX($H$2:$H$194)=MIN($H$2:$H$194),0,(H10-MIN($H$2:$H$194))/(MAX($H$2:$H$194)-MIN($H$2:$H$194)))</f>
        <v/>
      </c>
      <c r="L10" s="9">
        <f>I10+J10+K10</f>
        <v/>
      </c>
      <c r="M10" s="2" t="n">
        <v>1</v>
      </c>
      <c r="N10" s="2" t="n">
        <v>0</v>
      </c>
      <c r="O10" s="2" t="n">
        <v>1</v>
      </c>
      <c r="P10" s="2" t="n">
        <v>0</v>
      </c>
      <c r="Q10" s="2" t="n">
        <v>0</v>
      </c>
      <c r="R10" s="2" t="n">
        <v>9</v>
      </c>
      <c r="S10" s="2" t="n">
        <v>0</v>
      </c>
      <c r="T10" s="3" t="n">
        <v>0</v>
      </c>
      <c r="U10" s="2" t="n">
        <v>0</v>
      </c>
      <c r="V10" s="3" t="n">
        <v>1</v>
      </c>
      <c r="W10" s="3" t="n">
        <v>49.2129</v>
      </c>
      <c r="X10" s="3" t="n">
        <v>13.5</v>
      </c>
      <c r="Y10" s="3" t="n">
        <v>3154.0862</v>
      </c>
      <c r="Z10" s="3" t="n">
        <v>0.0717</v>
      </c>
      <c r="AA10" s="2" t="n">
        <v>55</v>
      </c>
      <c r="AB10" s="2" t="n">
        <v>19</v>
      </c>
      <c r="AC10" s="3" t="n">
        <v>233.636</v>
      </c>
      <c r="AG10" s="7" t="n">
        <v>9</v>
      </c>
      <c r="AH10" s="7" t="inlineStr">
        <is>
          <t>Ship.buildShip(String, Compass, Position)</t>
        </is>
      </c>
      <c r="AI10" s="11">
        <f>IF(MAX($F$2:$F$194)=MIN($F$2:$F$194),0,(F10-MIN($F$2:$F$194))/(MAX($F$2:$F$194)-MIN($F$2:$F$194)))</f>
        <v/>
      </c>
      <c r="AJ10" s="11">
        <f>IF(MAX($G$2:$G$194)=MIN($G$2:$G$194),0,(G10-MIN($G$2:$G$194))/(MAX($G$2:$G$194)-MIN($G$2:$G$194)))</f>
        <v/>
      </c>
      <c r="AK10" s="11">
        <f>IF(MAX($H$2:$H$194)=MIN($H$2:$H$194),0,(H10-MIN($H$2:$H$194))/(MAX($H$2:$H$194)-MIN($H$2:$H$194)))</f>
        <v/>
      </c>
      <c r="AL10" s="12" t="n">
        <v>7</v>
      </c>
    </row>
    <row r="11">
      <c r="A11" s="7" t="inlineStr">
        <is>
          <t>Project</t>
        </is>
      </c>
      <c r="B11" s="7" t="inlineStr">
        <is>
          <t>battleship</t>
        </is>
      </c>
      <c r="C11" s="7" t="inlineStr">
        <is>
          <t>Compass</t>
        </is>
      </c>
      <c r="D11" t="inlineStr">
        <is>
          <t>charToCompass(char)</t>
        </is>
      </c>
      <c r="E11" t="inlineStr">
        <is>
          <t>Compass.charToCompass(char)</t>
        </is>
      </c>
      <c r="F11" s="8" t="n">
        <v>6</v>
      </c>
      <c r="G11" s="8" t="n">
        <v>1</v>
      </c>
      <c r="H11" s="8" t="n">
        <v>28</v>
      </c>
      <c r="I11" s="9">
        <f>IF(MAX($F$2:$F$194)=MIN($F$2:$F$194),0,(F11-MIN($F$2:$F$194))/(MAX($F$2:$F$194)-MIN($F$2:$F$194)))</f>
        <v/>
      </c>
      <c r="J11" s="9">
        <f>IF(MAX($G$2:$G$194)=MIN($G$2:$G$194),0,(G11-MIN($G$2:$G$194))/(MAX($G$2:$G$194)-MIN($G$2:$G$194)))</f>
        <v/>
      </c>
      <c r="K11" s="9">
        <f>IF(MAX($H$2:$H$194)=MIN($H$2:$H$194),0,(H11-MIN($H$2:$H$194))/(MAX($H$2:$H$194)-MIN($H$2:$H$194)))</f>
        <v/>
      </c>
      <c r="L11" s="9">
        <f>I11+J11+K11</f>
        <v/>
      </c>
      <c r="M11" s="2" t="n">
        <v>1</v>
      </c>
      <c r="N11" s="2" t="n">
        <v>0</v>
      </c>
      <c r="O11" s="2" t="n">
        <v>1</v>
      </c>
      <c r="P11" s="2" t="n">
        <v>0</v>
      </c>
      <c r="Q11" s="2" t="n">
        <v>0</v>
      </c>
      <c r="R11" s="2" t="n">
        <v>6</v>
      </c>
      <c r="S11" s="2" t="n">
        <v>0</v>
      </c>
      <c r="T11" s="3" t="n">
        <v>0</v>
      </c>
      <c r="U11" s="2" t="n">
        <v>0</v>
      </c>
      <c r="V11" s="3" t="n">
        <v>1</v>
      </c>
      <c r="W11" s="3" t="n">
        <v>53.6323</v>
      </c>
      <c r="X11" s="3" t="n">
        <v>5.0909</v>
      </c>
      <c r="Y11" s="3" t="n">
        <v>615.6326</v>
      </c>
      <c r="Z11" s="3" t="n">
        <v>0.0241</v>
      </c>
      <c r="AA11" s="2" t="n">
        <v>29</v>
      </c>
      <c r="AB11" s="2" t="n">
        <v>18</v>
      </c>
      <c r="AC11" s="3" t="n">
        <v>120.9278</v>
      </c>
      <c r="AG11" s="7" t="n">
        <v>10</v>
      </c>
      <c r="AH11" s="7" t="inlineStr">
        <is>
          <t>Compass.charToCompass(char)</t>
        </is>
      </c>
      <c r="AI11" s="11">
        <f>IF(MAX($F$2:$F$194)=MIN($F$2:$F$194),0,(F11-MIN($F$2:$F$194))/(MAX($F$2:$F$194)-MIN($F$2:$F$194)))</f>
        <v/>
      </c>
      <c r="AJ11" s="11">
        <f>IF(MAX($G$2:$G$194)=MIN($G$2:$G$194),0,(G11-MIN($G$2:$G$194))/(MAX($G$2:$G$194)-MIN($G$2:$G$194)))</f>
        <v/>
      </c>
      <c r="AK11" s="11">
        <f>IF(MAX($H$2:$H$194)=MIN($H$2:$H$194),0,(H11-MIN($H$2:$H$194))/(MAX($H$2:$H$194)-MIN($H$2:$H$194)))</f>
        <v/>
      </c>
      <c r="AL11" s="12" t="n">
        <v>6</v>
      </c>
    </row>
    <row r="12">
      <c r="A12" s="7" t="inlineStr">
        <is>
          <t>Project</t>
        </is>
      </c>
      <c r="B12" s="7" t="inlineStr">
        <is>
          <t>battleship</t>
        </is>
      </c>
      <c r="C12" s="7" t="inlineStr">
        <is>
          <t>Game</t>
        </is>
      </c>
      <c r="D12" t="inlineStr">
        <is>
          <t>buildMoveSummary(IMove)</t>
        </is>
      </c>
      <c r="E12" t="inlineStr">
        <is>
          <t>Game.buildMoveSummary(IMove)</t>
        </is>
      </c>
      <c r="F12" s="8" t="n">
        <v>6</v>
      </c>
      <c r="G12" s="8" t="n">
        <v>1</v>
      </c>
      <c r="H12" s="8" t="n">
        <v>40</v>
      </c>
      <c r="I12" s="9">
        <f>IF(MAX($F$2:$F$194)=MIN($F$2:$F$194),0,(F12-MIN($F$2:$F$194))/(MAX($F$2:$F$194)-MIN($F$2:$F$194)))</f>
        <v/>
      </c>
      <c r="J12" s="9">
        <f>IF(MAX($G$2:$G$194)=MIN($G$2:$G$194),0,(G12-MIN($G$2:$G$194))/(MAX($G$2:$G$194)-MIN($G$2:$G$194)))</f>
        <v/>
      </c>
      <c r="K12" s="9">
        <f>IF(MAX($H$2:$H$194)=MIN($H$2:$H$194),0,(H12-MIN($H$2:$H$194))/(MAX($H$2:$H$194)-MIN($H$2:$H$194)))</f>
        <v/>
      </c>
      <c r="L12" s="9">
        <f>I12+J12+K12</f>
        <v/>
      </c>
      <c r="M12" s="2" t="n">
        <v>6</v>
      </c>
      <c r="N12" s="2" t="n">
        <v>2</v>
      </c>
      <c r="O12" s="2" t="n">
        <v>3</v>
      </c>
      <c r="P12" s="2" t="n">
        <v>1</v>
      </c>
      <c r="Q12" s="2" t="n">
        <v>1</v>
      </c>
      <c r="R12" s="2" t="n">
        <v>13</v>
      </c>
      <c r="S12" s="2" t="n">
        <v>11</v>
      </c>
      <c r="T12" s="3" t="n">
        <v>0.3333</v>
      </c>
      <c r="U12" s="2" t="n">
        <v>1</v>
      </c>
      <c r="V12" s="3" t="n">
        <v>0</v>
      </c>
      <c r="W12" s="3" t="n">
        <v>46.337</v>
      </c>
      <c r="X12" s="3" t="n">
        <v>29.9</v>
      </c>
      <c r="Y12" s="3" t="n">
        <v>13023.7817</v>
      </c>
      <c r="Z12" s="3" t="n">
        <v>0.1845</v>
      </c>
      <c r="AA12" s="2" t="n">
        <v>83</v>
      </c>
      <c r="AB12" s="2" t="n">
        <v>38</v>
      </c>
      <c r="AC12" s="3" t="n">
        <v>435.578</v>
      </c>
      <c r="AG12" s="7" t="n">
        <v>11</v>
      </c>
      <c r="AH12" s="7" t="inlineStr">
        <is>
          <t>Game.buildMoveSummary(IMove)</t>
        </is>
      </c>
      <c r="AI12" s="11">
        <f>IF(MAX($F$2:$F$194)=MIN($F$2:$F$194),0,(F12-MIN($F$2:$F$194))/(MAX($F$2:$F$194)-MIN($F$2:$F$194)))</f>
        <v/>
      </c>
      <c r="AJ12" s="11">
        <f>IF(MAX($G$2:$G$194)=MIN($G$2:$G$194),0,(G12-MIN($G$2:$G$194))/(MAX($G$2:$G$194)-MIN($G$2:$G$194)))</f>
        <v/>
      </c>
      <c r="AK12" s="11">
        <f>IF(MAX($H$2:$H$194)=MIN($H$2:$H$194),0,(H12-MIN($H$2:$H$194))/(MAX($H$2:$H$194)-MIN($H$2:$H$194)))</f>
        <v/>
      </c>
      <c r="AL12" s="12" t="n">
        <v>6</v>
      </c>
    </row>
    <row r="13">
      <c r="A13" s="7" t="inlineStr">
        <is>
          <t>Project</t>
        </is>
      </c>
      <c r="B13" s="7" t="inlineStr">
        <is>
          <t>battleship</t>
        </is>
      </c>
      <c r="C13" s="7" t="inlineStr">
        <is>
          <t>Game</t>
        </is>
      </c>
      <c r="D13" t="inlineStr">
        <is>
          <t>fireSingleShot(IPosition, boolean)</t>
        </is>
      </c>
      <c r="E13" t="inlineStr">
        <is>
          <t>Game.fireSingleShot(IPosition, boolean)</t>
        </is>
      </c>
      <c r="F13" s="8" t="n">
        <v>6</v>
      </c>
      <c r="G13" s="8" t="n">
        <v>2</v>
      </c>
      <c r="H13" s="8" t="n">
        <v>33</v>
      </c>
      <c r="I13" s="9">
        <f>IF(MAX($F$2:$F$194)=MIN($F$2:$F$194),0,(F13-MIN($F$2:$F$194))/(MAX($F$2:$F$194)-MIN($F$2:$F$194)))</f>
        <v/>
      </c>
      <c r="J13" s="9">
        <f>IF(MAX($G$2:$G$194)=MIN($G$2:$G$194),0,(G13-MIN($G$2:$G$194))/(MAX($G$2:$G$194)-MIN($G$2:$G$194)))</f>
        <v/>
      </c>
      <c r="K13" s="9">
        <f>IF(MAX($H$2:$H$194)=MIN($H$2:$H$194),0,(H13-MIN($H$2:$H$194))/(MAX($H$2:$H$194)-MIN($H$2:$H$194)))</f>
        <v/>
      </c>
      <c r="L13" s="9">
        <f>I13+J13+K13</f>
        <v/>
      </c>
      <c r="M13" s="2" t="n">
        <v>6</v>
      </c>
      <c r="N13" s="2" t="n">
        <v>2</v>
      </c>
      <c r="O13" s="2" t="n">
        <v>2</v>
      </c>
      <c r="P13" s="2" t="n">
        <v>0</v>
      </c>
      <c r="Q13" s="2" t="n">
        <v>0</v>
      </c>
      <c r="R13" s="2" t="n">
        <v>8</v>
      </c>
      <c r="S13" s="2" t="n">
        <v>4</v>
      </c>
      <c r="T13" s="3" t="n">
        <v>0.6</v>
      </c>
      <c r="U13" s="2" t="n">
        <v>0</v>
      </c>
      <c r="V13" s="3" t="n">
        <v>1</v>
      </c>
      <c r="W13" s="3" t="n">
        <v>49.2192</v>
      </c>
      <c r="X13" s="3" t="n">
        <v>24.7273</v>
      </c>
      <c r="Y13" s="3" t="n">
        <v>7607.8577</v>
      </c>
      <c r="Z13" s="3" t="n">
        <v>0.1289</v>
      </c>
      <c r="AA13" s="2" t="n">
        <v>64</v>
      </c>
      <c r="AB13" s="2" t="n">
        <v>28</v>
      </c>
      <c r="AC13" s="3" t="n">
        <v>307.6707</v>
      </c>
      <c r="AG13" s="7" t="n">
        <v>12</v>
      </c>
      <c r="AH13" s="7" t="inlineStr">
        <is>
          <t>Game.fireSingleShot(IPosition, boolean)</t>
        </is>
      </c>
      <c r="AI13" s="11">
        <f>IF(MAX($F$2:$F$194)=MIN($F$2:$F$194),0,(F13-MIN($F$2:$F$194))/(MAX($F$2:$F$194)-MIN($F$2:$F$194)))</f>
        <v/>
      </c>
      <c r="AJ13" s="11">
        <f>IF(MAX($G$2:$G$194)=MIN($G$2:$G$194),0,(G13-MIN($G$2:$G$194))/(MAX($G$2:$G$194)-MIN($G$2:$G$194)))</f>
        <v/>
      </c>
      <c r="AK13" s="11">
        <f>IF(MAX($H$2:$H$194)=MIN($H$2:$H$194),0,(H13-MIN($H$2:$H$194))/(MAX($H$2:$H$194)-MIN($H$2:$H$194)))</f>
        <v/>
      </c>
      <c r="AL13" s="12" t="n">
        <v>6</v>
      </c>
    </row>
    <row r="14">
      <c r="A14" s="7" t="inlineStr">
        <is>
          <t>Project</t>
        </is>
      </c>
      <c r="B14" s="7" t="inlineStr">
        <is>
          <t>battleship</t>
        </is>
      </c>
      <c r="C14" s="7" t="inlineStr">
        <is>
          <t>Game</t>
        </is>
      </c>
      <c r="D14" t="inlineStr">
        <is>
          <t>readEnemyFire(Scanner)</t>
        </is>
      </c>
      <c r="E14" t="inlineStr">
        <is>
          <t>Game.readEnemyFire(Scanner)</t>
        </is>
      </c>
      <c r="F14" s="8" t="n">
        <v>6</v>
      </c>
      <c r="G14" s="8" t="n">
        <v>1</v>
      </c>
      <c r="H14" s="8" t="n">
        <v>42</v>
      </c>
      <c r="I14" s="9">
        <f>IF(MAX($F$2:$F$194)=MIN($F$2:$F$194),0,(F14-MIN($F$2:$F$194))/(MAX($F$2:$F$194)-MIN($F$2:$F$194)))</f>
        <v/>
      </c>
      <c r="J14" s="9">
        <f>IF(MAX($G$2:$G$194)=MIN($G$2:$G$194),0,(G14-MIN($G$2:$G$194))/(MAX($G$2:$G$194)-MIN($G$2:$G$194)))</f>
        <v/>
      </c>
      <c r="K14" s="9">
        <f>IF(MAX($H$2:$H$194)=MIN($H$2:$H$194),0,(H14-MIN($H$2:$H$194))/(MAX($H$2:$H$194)-MIN($H$2:$H$194)))</f>
        <v/>
      </c>
      <c r="L14" s="9">
        <f>I14+J14+K14</f>
        <v/>
      </c>
      <c r="M14" s="2" t="n">
        <v>7</v>
      </c>
      <c r="N14" s="2" t="n">
        <v>2</v>
      </c>
      <c r="O14" s="2" t="n">
        <v>3</v>
      </c>
      <c r="P14" s="2" t="n">
        <v>1</v>
      </c>
      <c r="Q14" s="2" t="n">
        <v>1</v>
      </c>
      <c r="R14" s="2" t="n">
        <v>8</v>
      </c>
      <c r="S14" s="2" t="n">
        <v>12</v>
      </c>
      <c r="T14" s="3" t="n">
        <v>0.2857</v>
      </c>
      <c r="U14" s="2" t="n">
        <v>0</v>
      </c>
      <c r="V14" s="3" t="n">
        <v>1</v>
      </c>
      <c r="W14" s="3" t="n">
        <v>46.4</v>
      </c>
      <c r="X14" s="3" t="n">
        <v>26.1</v>
      </c>
      <c r="Y14" s="3" t="n">
        <v>9570.285</v>
      </c>
      <c r="Z14" s="3" t="n">
        <v>0.1503</v>
      </c>
      <c r="AA14" s="2" t="n">
        <v>68</v>
      </c>
      <c r="AB14" s="2" t="n">
        <v>42</v>
      </c>
      <c r="AC14" s="3" t="n">
        <v>366.6776</v>
      </c>
      <c r="AG14" s="7" t="n">
        <v>13</v>
      </c>
      <c r="AH14" s="7" t="inlineStr">
        <is>
          <t>Game.readEnemyFire(Scanner)</t>
        </is>
      </c>
      <c r="AI14" s="11">
        <f>IF(MAX($F$2:$F$194)=MIN($F$2:$F$194),0,(F14-MIN($F$2:$F$194))/(MAX($F$2:$F$194)-MIN($F$2:$F$194)))</f>
        <v/>
      </c>
      <c r="AJ14" s="11">
        <f>IF(MAX($G$2:$G$194)=MIN($G$2:$G$194),0,(G14-MIN($G$2:$G$194))/(MAX($G$2:$G$194)-MIN($G$2:$G$194)))</f>
        <v/>
      </c>
      <c r="AK14" s="11">
        <f>IF(MAX($H$2:$H$194)=MIN($H$2:$H$194),0,(H14-MIN($H$2:$H$194))/(MAX($H$2:$H$194)-MIN($H$2:$H$194)))</f>
        <v/>
      </c>
      <c r="AL14" s="12" t="n">
        <v>6</v>
      </c>
    </row>
    <row r="15">
      <c r="A15" s="7" t="inlineStr">
        <is>
          <t>Project</t>
        </is>
      </c>
      <c r="B15" s="7" t="inlineStr">
        <is>
          <t>battleship</t>
        </is>
      </c>
      <c r="C15" s="7" t="inlineStr">
        <is>
          <t>PdfExporter</t>
        </is>
      </c>
      <c r="D15" t="inlineStr">
        <is>
          <t>export(GameSummary, Path)</t>
        </is>
      </c>
      <c r="E15" t="inlineStr">
        <is>
          <t>PdfExporter.export(GameSummary, Path)</t>
        </is>
      </c>
      <c r="F15" s="8" t="n">
        <v>6</v>
      </c>
      <c r="G15" s="8" t="n">
        <v>2</v>
      </c>
      <c r="H15" s="8" t="n">
        <v>51</v>
      </c>
      <c r="I15" s="9">
        <f>IF(MAX($F$2:$F$194)=MIN($F$2:$F$194),0,(F15-MIN($F$2:$F$194))/(MAX($F$2:$F$194)-MIN($F$2:$F$194)))</f>
        <v/>
      </c>
      <c r="J15" s="9">
        <f>IF(MAX($G$2:$G$194)=MIN($G$2:$G$194),0,(G15-MIN($G$2:$G$194))/(MAX($G$2:$G$194)-MIN($G$2:$G$194)))</f>
        <v/>
      </c>
      <c r="K15" s="9">
        <f>IF(MAX($H$2:$H$194)=MIN($H$2:$H$194),0,(H15-MIN($H$2:$H$194))/(MAX($H$2:$H$194)-MIN($H$2:$H$194)))</f>
        <v/>
      </c>
      <c r="L15" s="9">
        <f>I15+J15+K15</f>
        <v/>
      </c>
      <c r="M15" s="2" t="n">
        <v>5</v>
      </c>
      <c r="N15" s="2" t="n">
        <v>1</v>
      </c>
      <c r="O15" s="2" t="n">
        <v>3</v>
      </c>
      <c r="P15" s="2" t="n">
        <v>2</v>
      </c>
      <c r="Q15" s="2" t="n">
        <v>3</v>
      </c>
      <c r="R15" s="2" t="n">
        <v>10</v>
      </c>
      <c r="S15" s="2" t="n">
        <v>31</v>
      </c>
      <c r="T15" s="3" t="n">
        <v>0.2424</v>
      </c>
      <c r="U15" s="2" t="n">
        <v>3</v>
      </c>
      <c r="V15" s="3" t="n">
        <v>0</v>
      </c>
      <c r="W15" s="3" t="n">
        <v>41.3673</v>
      </c>
      <c r="X15" s="3" t="n">
        <v>53.125</v>
      </c>
      <c r="Y15" s="3" t="n">
        <v>55572.7477</v>
      </c>
      <c r="Z15" s="3" t="n">
        <v>0.4854</v>
      </c>
      <c r="AA15" s="2" t="n">
        <v>165</v>
      </c>
      <c r="AB15" s="2" t="n">
        <v>81</v>
      </c>
      <c r="AC15" s="3" t="n">
        <v>1046.0753</v>
      </c>
      <c r="AG15" s="7" t="n">
        <v>14</v>
      </c>
      <c r="AH15" s="7" t="inlineStr">
        <is>
          <t>PdfExporter.export(GameSummary, Path)</t>
        </is>
      </c>
      <c r="AI15" s="11">
        <f>IF(MAX($F$2:$F$194)=MIN($F$2:$F$194),0,(F15-MIN($F$2:$F$194))/(MAX($F$2:$F$194)-MIN($F$2:$F$194)))</f>
        <v/>
      </c>
      <c r="AJ15" s="11">
        <f>IF(MAX($G$2:$G$194)=MIN($G$2:$G$194),0,(G15-MIN($G$2:$G$194))/(MAX($G$2:$G$194)-MIN($G$2:$G$194)))</f>
        <v/>
      </c>
      <c r="AK15" s="11">
        <f>IF(MAX($H$2:$H$194)=MIN($H$2:$H$194),0,(H15-MIN($H$2:$H$194))/(MAX($H$2:$H$194)-MIN($H$2:$H$194)))</f>
        <v/>
      </c>
      <c r="AL15" s="12" t="n">
        <v>6</v>
      </c>
    </row>
    <row r="16">
      <c r="A16" s="7" t="inlineStr">
        <is>
          <t>Project</t>
        </is>
      </c>
      <c r="B16" s="7" t="inlineStr">
        <is>
          <t>battleship</t>
        </is>
      </c>
      <c r="C16" s="7" t="inlineStr">
        <is>
          <t>Galleon</t>
        </is>
      </c>
      <c r="D16" t="inlineStr">
        <is>
          <t>Galleon(Compass, IPosition)</t>
        </is>
      </c>
      <c r="E16" t="inlineStr">
        <is>
          <t>Galleon.Galleon(Compass, IPosition)</t>
        </is>
      </c>
      <c r="F16" s="8" t="n">
        <v>5</v>
      </c>
      <c r="G16" s="8" t="n">
        <v>2</v>
      </c>
      <c r="H16" s="8" t="n">
        <v>23</v>
      </c>
      <c r="I16" s="9">
        <f>IF(MAX($F$2:$F$194)=MIN($F$2:$F$194),0,(F16-MIN($F$2:$F$194))/(MAX($F$2:$F$194)-MIN($F$2:$F$194)))</f>
        <v/>
      </c>
      <c r="J16" s="9">
        <f>IF(MAX($G$2:$G$194)=MIN($G$2:$G$194),0,(G16-MIN($G$2:$G$194))/(MAX($G$2:$G$194)-MIN($G$2:$G$194)))</f>
        <v/>
      </c>
      <c r="K16" s="9">
        <f>IF(MAX($H$2:$H$194)=MIN($H$2:$H$194),0,(H16-MIN($H$2:$H$194))/(MAX($H$2:$H$194)-MIN($H$2:$H$194)))</f>
        <v/>
      </c>
      <c r="L16" s="9">
        <f>I16+J16+K16</f>
        <v/>
      </c>
      <c r="M16" s="2" t="n">
        <v>1</v>
      </c>
      <c r="N16" s="2" t="n">
        <v>0</v>
      </c>
      <c r="O16" s="2" t="n">
        <v>1</v>
      </c>
      <c r="P16" s="2" t="n">
        <v>0</v>
      </c>
      <c r="Q16" s="2" t="n">
        <v>0</v>
      </c>
      <c r="R16" s="2" t="n">
        <v>6</v>
      </c>
      <c r="S16" s="2" t="n">
        <v>1</v>
      </c>
      <c r="T16" s="3" t="n">
        <v>0.2</v>
      </c>
      <c r="U16" s="2" t="n">
        <v>1</v>
      </c>
      <c r="V16" s="3" t="n">
        <v>0</v>
      </c>
      <c r="W16" s="3" t="n">
        <v>55.5204</v>
      </c>
      <c r="X16" s="3" t="n">
        <v>8.125</v>
      </c>
      <c r="Y16" s="3" t="n">
        <v>982.5386</v>
      </c>
      <c r="Z16" s="3" t="n">
        <v>0.0329</v>
      </c>
      <c r="AA16" s="2" t="n">
        <v>29</v>
      </c>
      <c r="AB16" s="2" t="n">
        <v>18</v>
      </c>
      <c r="AC16" s="3" t="n">
        <v>120.9278</v>
      </c>
      <c r="AG16" s="7" t="n">
        <v>15</v>
      </c>
      <c r="AH16" s="7" t="inlineStr">
        <is>
          <t>Galleon.Galleon(Compass, IPosition)</t>
        </is>
      </c>
      <c r="AI16" s="11">
        <f>IF(MAX($F$2:$F$194)=MIN($F$2:$F$194),0,(F16-MIN($F$2:$F$194))/(MAX($F$2:$F$194)-MIN($F$2:$F$194)))</f>
        <v/>
      </c>
      <c r="AJ16" s="11">
        <f>IF(MAX($G$2:$G$194)=MIN($G$2:$G$194),0,(G16-MIN($G$2:$G$194))/(MAX($G$2:$G$194)-MIN($G$2:$G$194)))</f>
        <v/>
      </c>
      <c r="AK16" s="11">
        <f>IF(MAX($H$2:$H$194)=MIN($H$2:$H$194),0,(H16-MIN($H$2:$H$194))/(MAX($H$2:$H$194)-MIN($H$2:$H$194)))</f>
        <v/>
      </c>
      <c r="AL16" s="12" t="n">
        <v>5</v>
      </c>
    </row>
    <row r="17">
      <c r="A17" s="7" t="inlineStr">
        <is>
          <t>Project</t>
        </is>
      </c>
      <c r="B17" s="7" t="inlineStr">
        <is>
          <t>battleship</t>
        </is>
      </c>
      <c r="C17" s="7" t="inlineStr">
        <is>
          <t>Game</t>
        </is>
      </c>
      <c r="D17" t="inlineStr">
        <is>
          <t>describeShotResult(ShotResult)</t>
        </is>
      </c>
      <c r="E17" t="inlineStr">
        <is>
          <t>Game.describeShotResult(ShotResult)</t>
        </is>
      </c>
      <c r="F17" s="8" t="n">
        <v>5</v>
      </c>
      <c r="G17" s="8" t="n">
        <v>1</v>
      </c>
      <c r="H17" s="8" t="n">
        <v>15</v>
      </c>
      <c r="I17" s="9">
        <f>IF(MAX($F$2:$F$194)=MIN($F$2:$F$194),0,(F17-MIN($F$2:$F$194))/(MAX($F$2:$F$194)-MIN($F$2:$F$194)))</f>
        <v/>
      </c>
      <c r="J17" s="9">
        <f>IF(MAX($G$2:$G$194)=MIN($G$2:$G$194),0,(G17-MIN($G$2:$G$194))/(MAX($G$2:$G$194)-MIN($G$2:$G$194)))</f>
        <v/>
      </c>
      <c r="K17" s="9">
        <f>IF(MAX($H$2:$H$194)=MIN($H$2:$H$194),0,(H17-MIN($H$2:$H$194))/(MAX($H$2:$H$194)-MIN($H$2:$H$194)))</f>
        <v/>
      </c>
      <c r="L17" s="9">
        <f>I17+J17+K17</f>
        <v/>
      </c>
      <c r="M17" s="2" t="n">
        <v>4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1</v>
      </c>
      <c r="S17" s="2" t="n">
        <v>5</v>
      </c>
      <c r="T17" s="3" t="n">
        <v>0.4</v>
      </c>
      <c r="U17" s="2" t="n">
        <v>1</v>
      </c>
      <c r="V17" s="3" t="n">
        <v>0</v>
      </c>
      <c r="W17" s="3" t="n">
        <v>59.0795</v>
      </c>
      <c r="X17" s="3" t="n">
        <v>9.428599999999999</v>
      </c>
      <c r="Y17" s="3" t="n">
        <v>1336.7588</v>
      </c>
      <c r="Z17" s="3" t="n">
        <v>0.0404</v>
      </c>
      <c r="AA17" s="2" t="n">
        <v>34</v>
      </c>
      <c r="AB17" s="2" t="n">
        <v>18</v>
      </c>
      <c r="AC17" s="3" t="n">
        <v>141.7775</v>
      </c>
      <c r="AG17" s="7" t="n">
        <v>16</v>
      </c>
      <c r="AH17" s="7" t="inlineStr">
        <is>
          <t>Game.describeShotResult(ShotResult)</t>
        </is>
      </c>
      <c r="AI17" s="11">
        <f>IF(MAX($F$2:$F$194)=MIN($F$2:$F$194),0,(F17-MIN($F$2:$F$194))/(MAX($F$2:$F$194)-MIN($F$2:$F$194)))</f>
        <v/>
      </c>
      <c r="AJ17" s="11">
        <f>IF(MAX($G$2:$G$194)=MIN($G$2:$G$194),0,(G17-MIN($G$2:$G$194))/(MAX($G$2:$G$194)-MIN($G$2:$G$194)))</f>
        <v/>
      </c>
      <c r="AK17" s="11">
        <f>IF(MAX($H$2:$H$194)=MIN($H$2:$H$194),0,(H17-MIN($H$2:$H$194))/(MAX($H$2:$H$194)-MIN($H$2:$H$194)))</f>
        <v/>
      </c>
      <c r="AL17" s="12" t="n">
        <v>5</v>
      </c>
    </row>
    <row r="18">
      <c r="A18" s="7" t="inlineStr">
        <is>
          <t>Project</t>
        </is>
      </c>
      <c r="B18" s="7" t="inlineStr">
        <is>
          <t>battleship</t>
        </is>
      </c>
      <c r="C18" s="7" t="inlineStr">
        <is>
          <t>Ship</t>
        </is>
      </c>
      <c r="D18" t="inlineStr">
        <is>
          <t>getAdjacentPositions()</t>
        </is>
      </c>
      <c r="E18" t="inlineStr">
        <is>
          <t>Ship.getAdjacentPositions()</t>
        </is>
      </c>
      <c r="F18" s="8" t="n">
        <v>5</v>
      </c>
      <c r="G18" s="8" t="n">
        <v>0</v>
      </c>
      <c r="H18" s="8" t="n">
        <v>19</v>
      </c>
      <c r="I18" s="9">
        <f>IF(MAX($F$2:$F$194)=MIN($F$2:$F$194),0,(F18-MIN($F$2:$F$194))/(MAX($F$2:$F$194)-MIN($F$2:$F$194)))</f>
        <v/>
      </c>
      <c r="J18" s="9">
        <f>IF(MAX($G$2:$G$194)=MIN($G$2:$G$194),0,(G18-MIN($G$2:$G$194))/(MAX($G$2:$G$194)-MIN($G$2:$G$194)))</f>
        <v/>
      </c>
      <c r="K18" s="9">
        <f>IF(MAX($H$2:$H$194)=MIN($H$2:$H$194),0,(H18-MIN($H$2:$H$194))/(MAX($H$2:$H$194)-MIN($H$2:$H$194)))</f>
        <v/>
      </c>
      <c r="L18" s="9">
        <f>I18+J18+K18</f>
        <v/>
      </c>
      <c r="M18" s="2" t="n">
        <v>4</v>
      </c>
      <c r="N18" s="2" t="n">
        <v>1</v>
      </c>
      <c r="O18" s="2" t="n">
        <v>1</v>
      </c>
      <c r="P18" s="2" t="n">
        <v>2</v>
      </c>
      <c r="Q18" s="2" t="n">
        <v>2</v>
      </c>
      <c r="R18" s="2" t="n">
        <v>4</v>
      </c>
      <c r="S18" s="2" t="n">
        <v>3</v>
      </c>
      <c r="T18" s="3" t="n">
        <v>0.5</v>
      </c>
      <c r="U18" s="2" t="n">
        <v>0</v>
      </c>
      <c r="V18" s="3" t="n">
        <v>1</v>
      </c>
      <c r="W18" s="3" t="n">
        <v>58.2392</v>
      </c>
      <c r="X18" s="3" t="n">
        <v>11</v>
      </c>
      <c r="Y18" s="3" t="n">
        <v>988.4433</v>
      </c>
      <c r="Z18" s="3" t="n">
        <v>0.0331</v>
      </c>
      <c r="AA18" s="2" t="n">
        <v>23</v>
      </c>
      <c r="AB18" s="2" t="n">
        <v>15</v>
      </c>
      <c r="AC18" s="3" t="n">
        <v>89.85850000000001</v>
      </c>
      <c r="AG18" s="7" t="n">
        <v>17</v>
      </c>
      <c r="AH18" s="7" t="inlineStr">
        <is>
          <t>Ship.getAdjacentPositions()</t>
        </is>
      </c>
      <c r="AI18" s="11">
        <f>IF(MAX($F$2:$F$194)=MIN($F$2:$F$194),0,(F18-MIN($F$2:$F$194))/(MAX($F$2:$F$194)-MIN($F$2:$F$194)))</f>
        <v/>
      </c>
      <c r="AJ18" s="11">
        <f>IF(MAX($G$2:$G$194)=MIN($G$2:$G$194),0,(G18-MIN($G$2:$G$194))/(MAX($G$2:$G$194)-MIN($G$2:$G$194)))</f>
        <v/>
      </c>
      <c r="AK18" s="11">
        <f>IF(MAX($H$2:$H$194)=MIN($H$2:$H$194),0,(H18-MIN($H$2:$H$194))/(MAX($H$2:$H$194)-MIN($H$2:$H$194)))</f>
        <v/>
      </c>
      <c r="AL18" s="12" t="n">
        <v>5</v>
      </c>
    </row>
    <row r="19">
      <c r="A19" s="7" t="inlineStr">
        <is>
          <t>Project</t>
        </is>
      </c>
      <c r="B19" s="7" t="inlineStr">
        <is>
          <t>battleship</t>
        </is>
      </c>
      <c r="C19" s="7" t="inlineStr">
        <is>
          <t>Fleet</t>
        </is>
      </c>
      <c r="D19" t="inlineStr">
        <is>
          <t>addShip(IShip)</t>
        </is>
      </c>
      <c r="E19" t="inlineStr">
        <is>
          <t>Fleet.addShip(IShip)</t>
        </is>
      </c>
      <c r="F19" s="8" t="n">
        <v>4</v>
      </c>
      <c r="G19" s="8" t="n">
        <v>1</v>
      </c>
      <c r="H19" s="8" t="n">
        <v>23</v>
      </c>
      <c r="I19" s="9">
        <f>IF(MAX($F$2:$F$194)=MIN($F$2:$F$194),0,(F19-MIN($F$2:$F$194))/(MAX($F$2:$F$194)-MIN($F$2:$F$194)))</f>
        <v/>
      </c>
      <c r="J19" s="9">
        <f>IF(MAX($G$2:$G$194)=MIN($G$2:$G$194),0,(G19-MIN($G$2:$G$194))/(MAX($G$2:$G$194)-MIN($G$2:$G$194)))</f>
        <v/>
      </c>
      <c r="K19" s="9">
        <f>IF(MAX($H$2:$H$194)=MIN($H$2:$H$194),0,(H19-MIN($H$2:$H$194))/(MAX($H$2:$H$194)-MIN($H$2:$H$194)))</f>
        <v/>
      </c>
      <c r="L19" s="9">
        <f>I19+J19+K19</f>
        <v/>
      </c>
      <c r="M19" s="2" t="n">
        <v>3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4</v>
      </c>
      <c r="S19" s="2" t="n">
        <v>2</v>
      </c>
      <c r="T19" s="3" t="n">
        <v>0.25</v>
      </c>
      <c r="U19" s="2" t="n">
        <v>0</v>
      </c>
      <c r="V19" s="3" t="n">
        <v>0.5</v>
      </c>
      <c r="W19" s="3" t="n">
        <v>55.9276</v>
      </c>
      <c r="X19" s="3" t="n">
        <v>10.2857</v>
      </c>
      <c r="Y19" s="3" t="n">
        <v>1092.3242</v>
      </c>
      <c r="Z19" s="3" t="n">
        <v>0.0354</v>
      </c>
      <c r="AA19" s="2" t="n">
        <v>25</v>
      </c>
      <c r="AB19" s="2" t="n">
        <v>19</v>
      </c>
      <c r="AC19" s="3" t="n">
        <v>106.1982</v>
      </c>
      <c r="AG19" s="7" t="n">
        <v>18</v>
      </c>
      <c r="AH19" s="7" t="inlineStr">
        <is>
          <t>Fleet.addShip(IShip)</t>
        </is>
      </c>
      <c r="AI19" s="11">
        <f>IF(MAX($F$2:$F$194)=MIN($F$2:$F$194),0,(F19-MIN($F$2:$F$194))/(MAX($F$2:$F$194)-MIN($F$2:$F$194)))</f>
        <v/>
      </c>
      <c r="AJ19" s="11">
        <f>IF(MAX($G$2:$G$194)=MIN($G$2:$G$194),0,(G19-MIN($G$2:$G$194))/(MAX($G$2:$G$194)-MIN($G$2:$G$194)))</f>
        <v/>
      </c>
      <c r="AK19" s="11">
        <f>IF(MAX($H$2:$H$194)=MIN($H$2:$H$194),0,(H19-MIN($H$2:$H$194))/(MAX($H$2:$H$194)-MIN($H$2:$H$194)))</f>
        <v/>
      </c>
      <c r="AL19" s="12" t="n">
        <v>4</v>
      </c>
    </row>
    <row r="20">
      <c r="A20" s="7" t="inlineStr">
        <is>
          <t>Project</t>
        </is>
      </c>
      <c r="B20" s="7" t="inlineStr">
        <is>
          <t>battleship</t>
        </is>
      </c>
      <c r="C20" s="7" t="inlineStr">
        <is>
          <t>Fleet</t>
        </is>
      </c>
      <c r="D20" t="inlineStr">
        <is>
          <t>createRandom()</t>
        </is>
      </c>
      <c r="E20" t="inlineStr">
        <is>
          <t>Fleet.createRandom()</t>
        </is>
      </c>
      <c r="F20" s="8" t="n">
        <v>4</v>
      </c>
      <c r="G20" s="8" t="n">
        <v>0</v>
      </c>
      <c r="H20" s="8" t="n">
        <v>27</v>
      </c>
      <c r="I20" s="9">
        <f>IF(MAX($F$2:$F$194)=MIN($F$2:$F$194),0,(F20-MIN($F$2:$F$194))/(MAX($F$2:$F$194)-MIN($F$2:$F$194)))</f>
        <v/>
      </c>
      <c r="J20" s="9">
        <f>IF(MAX($G$2:$G$194)=MIN($G$2:$G$194),0,(G20-MIN($G$2:$G$194))/(MAX($G$2:$G$194)-MIN($G$2:$G$194)))</f>
        <v/>
      </c>
      <c r="K20" s="9">
        <f>IF(MAX($H$2:$H$194)=MIN($H$2:$H$194),0,(H20-MIN($H$2:$H$194))/(MAX($H$2:$H$194)-MIN($H$2:$H$194)))</f>
        <v/>
      </c>
      <c r="L20" s="9">
        <f>I20+J20+K20</f>
        <v/>
      </c>
      <c r="M20" s="2" t="n">
        <v>3</v>
      </c>
      <c r="N20" s="2" t="n">
        <v>1</v>
      </c>
      <c r="O20" s="2" t="n">
        <v>2</v>
      </c>
      <c r="P20" s="2" t="n">
        <v>1</v>
      </c>
      <c r="Q20" s="2" t="n">
        <v>1</v>
      </c>
      <c r="R20" s="2" t="n">
        <v>5</v>
      </c>
      <c r="S20" s="2" t="n">
        <v>3</v>
      </c>
      <c r="T20" s="3" t="n">
        <v>0.75</v>
      </c>
      <c r="U20" s="2" t="n">
        <v>1</v>
      </c>
      <c r="V20" s="3" t="n">
        <v>0</v>
      </c>
      <c r="W20" s="3" t="n">
        <v>52.7984</v>
      </c>
      <c r="X20" s="3" t="n">
        <v>14.375</v>
      </c>
      <c r="Y20" s="3" t="n">
        <v>2597.3573</v>
      </c>
      <c r="Z20" s="3" t="n">
        <v>0.063</v>
      </c>
      <c r="AA20" s="2" t="n">
        <v>38</v>
      </c>
      <c r="AB20" s="2" t="n">
        <v>27</v>
      </c>
      <c r="AC20" s="3" t="n">
        <v>180.6857</v>
      </c>
      <c r="AG20" s="7" t="n">
        <v>19</v>
      </c>
      <c r="AH20" s="7" t="inlineStr">
        <is>
          <t>Fleet.createRandom()</t>
        </is>
      </c>
      <c r="AI20" s="11">
        <f>IF(MAX($F$2:$F$194)=MIN($F$2:$F$194),0,(F20-MIN($F$2:$F$194))/(MAX($F$2:$F$194)-MIN($F$2:$F$194)))</f>
        <v/>
      </c>
      <c r="AJ20" s="11">
        <f>IF(MAX($G$2:$G$194)=MIN($G$2:$G$194),0,(G20-MIN($G$2:$G$194))/(MAX($G$2:$G$194)-MIN($G$2:$G$194)))</f>
        <v/>
      </c>
      <c r="AK20" s="11">
        <f>IF(MAX($H$2:$H$194)=MIN($H$2:$H$194),0,(H20-MIN($H$2:$H$194))/(MAX($H$2:$H$194)-MIN($H$2:$H$194)))</f>
        <v/>
      </c>
      <c r="AL20" s="12" t="n">
        <v>4</v>
      </c>
    </row>
    <row r="21">
      <c r="A21" s="7" t="inlineStr">
        <is>
          <t>Project</t>
        </is>
      </c>
      <c r="B21" s="7" t="inlineStr">
        <is>
          <t>battleship</t>
        </is>
      </c>
      <c r="C21" s="7" t="inlineStr">
        <is>
          <t>Fleet</t>
        </is>
      </c>
      <c r="D21" t="inlineStr">
        <is>
          <t>isInsideBoard(IShip)</t>
        </is>
      </c>
      <c r="E21" t="inlineStr">
        <is>
          <t>Fleet.isInsideBoard(IShip)</t>
        </is>
      </c>
      <c r="F21" s="8" t="n">
        <v>4</v>
      </c>
      <c r="G21" s="8" t="n">
        <v>1</v>
      </c>
      <c r="H21" s="8" t="n">
        <v>12</v>
      </c>
      <c r="I21" s="9">
        <f>IF(MAX($F$2:$F$194)=MIN($F$2:$F$194),0,(F21-MIN($F$2:$F$194))/(MAX($F$2:$F$194)-MIN($F$2:$F$194)))</f>
        <v/>
      </c>
      <c r="J21" s="9">
        <f>IF(MAX($G$2:$G$194)=MIN($G$2:$G$194),0,(G21-MIN($G$2:$G$194))/(MAX($G$2:$G$194)-MIN($G$2:$G$194)))</f>
        <v/>
      </c>
      <c r="K21" s="9">
        <f>IF(MAX($H$2:$H$194)=MIN($H$2:$H$194),0,(H21-MIN($H$2:$H$194))/(MAX($H$2:$H$194)-MIN($H$2:$H$194)))</f>
        <v/>
      </c>
      <c r="L21" s="9">
        <f>I21+J21+K21</f>
        <v/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2</v>
      </c>
      <c r="S21" s="2" t="n">
        <v>4</v>
      </c>
      <c r="T21" s="3" t="n">
        <v>0.25</v>
      </c>
      <c r="U21" s="2" t="n">
        <v>1</v>
      </c>
      <c r="V21" s="3" t="n">
        <v>0</v>
      </c>
      <c r="W21" s="3" t="n">
        <v>61.9785</v>
      </c>
      <c r="X21" s="3" t="n">
        <v>14.4</v>
      </c>
      <c r="Y21" s="3" t="n">
        <v>1589.2056</v>
      </c>
      <c r="Z21" s="3" t="n">
        <v>0.0454</v>
      </c>
      <c r="AA21" s="2" t="n">
        <v>27</v>
      </c>
      <c r="AB21" s="2" t="n">
        <v>17</v>
      </c>
      <c r="AC21" s="3" t="n">
        <v>110.3615</v>
      </c>
      <c r="AG21" s="7" t="n">
        <v>20</v>
      </c>
      <c r="AH21" s="7" t="inlineStr">
        <is>
          <t>Fleet.isInsideBoard(IShip)</t>
        </is>
      </c>
      <c r="AI21" s="11">
        <f>IF(MAX($F$2:$F$194)=MIN($F$2:$F$194),0,(F21-MIN($F$2:$F$194))/(MAX($F$2:$F$194)-MIN($F$2:$F$194)))</f>
        <v/>
      </c>
      <c r="AJ21" s="11">
        <f>IF(MAX($G$2:$G$194)=MIN($G$2:$G$194),0,(G21-MIN($G$2:$G$194))/(MAX($G$2:$G$194)-MIN($G$2:$G$194)))</f>
        <v/>
      </c>
      <c r="AK21" s="11">
        <f>IF(MAX($H$2:$H$194)=MIN($H$2:$H$194),0,(H21-MIN($H$2:$H$194))/(MAX($H$2:$H$194)-MIN($H$2:$H$194)))</f>
        <v/>
      </c>
      <c r="AL21" s="12" t="n">
        <v>4</v>
      </c>
    </row>
    <row r="22">
      <c r="A22" s="7" t="inlineStr">
        <is>
          <t>Project</t>
        </is>
      </c>
      <c r="B22" s="7" t="inlineStr">
        <is>
          <t>battleship</t>
        </is>
      </c>
      <c r="C22" s="7" t="inlineStr">
        <is>
          <t>Game</t>
        </is>
      </c>
      <c r="D22" t="inlineStr">
        <is>
          <t>createSummary()</t>
        </is>
      </c>
      <c r="E22" t="inlineStr">
        <is>
          <t>Game.createSummary()</t>
        </is>
      </c>
      <c r="F22" s="8" t="n">
        <v>4</v>
      </c>
      <c r="G22" s="8" t="n">
        <v>0</v>
      </c>
      <c r="H22" s="8" t="n">
        <v>38</v>
      </c>
      <c r="I22" s="9">
        <f>IF(MAX($F$2:$F$194)=MIN($F$2:$F$194),0,(F22-MIN($F$2:$F$194))/(MAX($F$2:$F$194)-MIN($F$2:$F$194)))</f>
        <v/>
      </c>
      <c r="J22" s="9">
        <f>IF(MAX($G$2:$G$194)=MIN($G$2:$G$194),0,(G22-MIN($G$2:$G$194))/(MAX($G$2:$G$194)-MIN($G$2:$G$194)))</f>
        <v/>
      </c>
      <c r="K22" s="9">
        <f>IF(MAX($H$2:$H$194)=MIN($H$2:$H$194),0,(H22-MIN($H$2:$H$194))/(MAX($H$2:$H$194)-MIN($H$2:$H$194)))</f>
        <v/>
      </c>
      <c r="L22" s="9">
        <f>I22+J22+K22</f>
        <v/>
      </c>
      <c r="M22" s="2" t="n">
        <v>3</v>
      </c>
      <c r="N22" s="2" t="n">
        <v>0</v>
      </c>
      <c r="O22" s="2" t="n">
        <v>1</v>
      </c>
      <c r="P22" s="2" t="n">
        <v>1</v>
      </c>
      <c r="Q22" s="2" t="n">
        <v>1</v>
      </c>
      <c r="R22" s="2" t="n">
        <v>17</v>
      </c>
      <c r="S22" s="2" t="n">
        <v>16</v>
      </c>
      <c r="T22" s="3" t="n">
        <v>0.5294</v>
      </c>
      <c r="U22" s="2" t="n">
        <v>0</v>
      </c>
      <c r="V22" s="3" t="n">
        <v>1</v>
      </c>
      <c r="W22" s="3" t="n">
        <v>47.0133</v>
      </c>
      <c r="X22" s="3" t="n">
        <v>15.3333</v>
      </c>
      <c r="Y22" s="3" t="n">
        <v>6387.7772</v>
      </c>
      <c r="Z22" s="3" t="n">
        <v>0.1148</v>
      </c>
      <c r="AA22" s="2" t="n">
        <v>75</v>
      </c>
      <c r="AB22" s="2" t="n">
        <v>47</v>
      </c>
      <c r="AC22" s="3" t="n">
        <v>416.5942</v>
      </c>
      <c r="AG22" s="7" t="n">
        <v>21</v>
      </c>
      <c r="AH22" s="7" t="inlineStr">
        <is>
          <t>Game.createSummary()</t>
        </is>
      </c>
      <c r="AI22" s="11">
        <f>IF(MAX($F$2:$F$194)=MIN($F$2:$F$194),0,(F22-MIN($F$2:$F$194))/(MAX($F$2:$F$194)-MIN($F$2:$F$194)))</f>
        <v/>
      </c>
      <c r="AJ22" s="11">
        <f>IF(MAX($G$2:$G$194)=MIN($G$2:$G$194),0,(G22-MIN($G$2:$G$194))/(MAX($G$2:$G$194)-MIN($G$2:$G$194)))</f>
        <v/>
      </c>
      <c r="AK22" s="11">
        <f>IF(MAX($H$2:$H$194)=MIN($H$2:$H$194),0,(H22-MIN($H$2:$H$194))/(MAX($H$2:$H$194)-MIN($H$2:$H$194)))</f>
        <v/>
      </c>
      <c r="AL22" s="12" t="n">
        <v>4</v>
      </c>
    </row>
    <row r="23">
      <c r="A23" s="7" t="inlineStr">
        <is>
          <t>Project</t>
        </is>
      </c>
      <c r="B23" s="7" t="inlineStr">
        <is>
          <t>battleship</t>
        </is>
      </c>
      <c r="C23" s="7" t="inlineStr">
        <is>
          <t>Position</t>
        </is>
      </c>
      <c r="D23" t="inlineStr">
        <is>
          <t>equals(Object)</t>
        </is>
      </c>
      <c r="E23" t="inlineStr">
        <is>
          <t>Position.equals(Object)</t>
        </is>
      </c>
      <c r="F23" s="8" t="n">
        <v>4</v>
      </c>
      <c r="G23" s="8" t="n">
        <v>1</v>
      </c>
      <c r="H23" s="8" t="n">
        <v>18</v>
      </c>
      <c r="I23" s="9">
        <f>IF(MAX($F$2:$F$194)=MIN($F$2:$F$194),0,(F23-MIN($F$2:$F$194))/(MAX($F$2:$F$194)-MIN($F$2:$F$194)))</f>
        <v/>
      </c>
      <c r="J23" s="9">
        <f>IF(MAX($G$2:$G$194)=MIN($G$2:$G$194),0,(G23-MIN($G$2:$G$194))/(MAX($G$2:$G$194)-MIN($G$2:$G$194)))</f>
        <v/>
      </c>
      <c r="K23" s="9">
        <f>IF(MAX($H$2:$H$194)=MIN($H$2:$H$194),0,(H23-MIN($H$2:$H$194))/(MAX($H$2:$H$194)-MIN($H$2:$H$194)))</f>
        <v/>
      </c>
      <c r="L23" s="9">
        <f>I23+J23+K23</f>
        <v/>
      </c>
      <c r="M23" s="2" t="n">
        <v>3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4</v>
      </c>
      <c r="S23" s="2" t="n">
        <v>2</v>
      </c>
      <c r="T23" s="3" t="n">
        <v>0.5</v>
      </c>
      <c r="U23" s="2" t="n">
        <v>0</v>
      </c>
      <c r="V23" s="3" t="n">
        <v>1</v>
      </c>
      <c r="W23" s="3" t="n">
        <v>58.3078</v>
      </c>
      <c r="X23" s="3" t="n">
        <v>7.5</v>
      </c>
      <c r="Y23" s="3" t="n">
        <v>780</v>
      </c>
      <c r="Z23" s="3" t="n">
        <v>0.0282</v>
      </c>
      <c r="AA23" s="2" t="n">
        <v>26</v>
      </c>
      <c r="AB23" s="2" t="n">
        <v>16</v>
      </c>
      <c r="AC23" s="3" t="n">
        <v>104</v>
      </c>
      <c r="AG23" s="7" t="n">
        <v>22</v>
      </c>
      <c r="AH23" s="7" t="inlineStr">
        <is>
          <t>Position.equals(Object)</t>
        </is>
      </c>
      <c r="AI23" s="11">
        <f>IF(MAX($F$2:$F$194)=MIN($F$2:$F$194),0,(F23-MIN($F$2:$F$194))/(MAX($F$2:$F$194)-MIN($F$2:$F$194)))</f>
        <v/>
      </c>
      <c r="AJ23" s="11">
        <f>IF(MAX($G$2:$G$194)=MIN($G$2:$G$194),0,(G23-MIN($G$2:$G$194))/(MAX($G$2:$G$194)-MIN($G$2:$G$194)))</f>
        <v/>
      </c>
      <c r="AK23" s="11">
        <f>IF(MAX($H$2:$H$194)=MIN($H$2:$H$194),0,(H23-MIN($H$2:$H$194))/(MAX($H$2:$H$194)-MIN($H$2:$H$194)))</f>
        <v/>
      </c>
      <c r="AL23" s="12" t="n">
        <v>4</v>
      </c>
    </row>
    <row r="24">
      <c r="A24" s="7" t="inlineStr">
        <is>
          <t>Project</t>
        </is>
      </c>
      <c r="B24" s="7" t="inlineStr">
        <is>
          <t>battleship</t>
        </is>
      </c>
      <c r="C24" s="7" t="inlineStr">
        <is>
          <t>Position</t>
        </is>
      </c>
      <c r="D24" t="inlineStr">
        <is>
          <t>isInside()</t>
        </is>
      </c>
      <c r="E24" t="inlineStr">
        <is>
          <t>Position.isInside()</t>
        </is>
      </c>
      <c r="F24" s="8" t="n">
        <v>4</v>
      </c>
      <c r="G24" s="8" t="n">
        <v>0</v>
      </c>
      <c r="H24" s="8" t="n">
        <v>10</v>
      </c>
      <c r="I24" s="9">
        <f>IF(MAX($F$2:$F$194)=MIN($F$2:$F$194),0,(F24-MIN($F$2:$F$194))/(MAX($F$2:$F$194)-MIN($F$2:$F$194)))</f>
        <v/>
      </c>
      <c r="J24" s="9">
        <f>IF(MAX($G$2:$G$194)=MIN($G$2:$G$194),0,(G24-MIN($G$2:$G$194))/(MAX($G$2:$G$194)-MIN($G$2:$G$194)))</f>
        <v/>
      </c>
      <c r="K24" s="9">
        <f>IF(MAX($H$2:$H$194)=MIN($H$2:$H$194),0,(H24-MIN($H$2:$H$194))/(MAX($H$2:$H$194)-MIN($H$2:$H$194)))</f>
        <v/>
      </c>
      <c r="L24" s="9">
        <f>I24+J24+K24</f>
        <v/>
      </c>
      <c r="M24" s="2" t="n">
        <v>1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3</v>
      </c>
      <c r="S24" s="2" t="n">
        <v>0</v>
      </c>
      <c r="T24" s="3" t="n">
        <v>0</v>
      </c>
      <c r="U24" s="2" t="n">
        <v>1</v>
      </c>
      <c r="V24" s="3" t="n">
        <v>0.6667</v>
      </c>
      <c r="W24" s="3" t="n">
        <v>66.2915</v>
      </c>
      <c r="X24" s="3" t="n">
        <v>5</v>
      </c>
      <c r="Y24" s="3" t="n">
        <v>237.7444</v>
      </c>
      <c r="Z24" s="3" t="n">
        <v>0.0128</v>
      </c>
      <c r="AA24" s="2" t="n">
        <v>15</v>
      </c>
      <c r="AB24" s="2" t="n">
        <v>9</v>
      </c>
      <c r="AC24" s="3" t="n">
        <v>47.5489</v>
      </c>
      <c r="AG24" s="7" t="n">
        <v>23</v>
      </c>
      <c r="AH24" s="7" t="inlineStr">
        <is>
          <t>Position.isInside()</t>
        </is>
      </c>
      <c r="AI24" s="11">
        <f>IF(MAX($F$2:$F$194)=MIN($F$2:$F$194),0,(F24-MIN($F$2:$F$194))/(MAX($F$2:$F$194)-MIN($F$2:$F$194)))</f>
        <v/>
      </c>
      <c r="AJ24" s="11">
        <f>IF(MAX($G$2:$G$194)=MIN($G$2:$G$194),0,(G24-MIN($G$2:$G$194))/(MAX($G$2:$G$194)-MIN($G$2:$G$194)))</f>
        <v/>
      </c>
      <c r="AK24" s="11">
        <f>IF(MAX($H$2:$H$194)=MIN($H$2:$H$194),0,(H24-MIN($H$2:$H$194))/(MAX($H$2:$H$194)-MIN($H$2:$H$194)))</f>
        <v/>
      </c>
      <c r="AL24" s="12" t="n">
        <v>4</v>
      </c>
    </row>
    <row r="25">
      <c r="A25" s="7" t="inlineStr">
        <is>
          <t>Project</t>
        </is>
      </c>
      <c r="B25" s="7" t="inlineStr">
        <is>
          <t>battleship</t>
        </is>
      </c>
      <c r="C25" s="7" t="inlineStr">
        <is>
          <t>Tasks</t>
        </is>
      </c>
      <c r="D25" t="inlineStr">
        <is>
          <t>buildFleet(Scanner)</t>
        </is>
      </c>
      <c r="E25" t="inlineStr">
        <is>
          <t>Tasks.buildFleet(Scanner)</t>
        </is>
      </c>
      <c r="F25" s="8" t="n">
        <v>4</v>
      </c>
      <c r="G25" s="8" t="n">
        <v>1</v>
      </c>
      <c r="H25" s="8" t="n">
        <v>25</v>
      </c>
      <c r="I25" s="9">
        <f>IF(MAX($F$2:$F$194)=MIN($F$2:$F$194),0,(F25-MIN($F$2:$F$194))/(MAX($F$2:$F$194)-MIN($F$2:$F$194)))</f>
        <v/>
      </c>
      <c r="J25" s="9">
        <f>IF(MAX($G$2:$G$194)=MIN($G$2:$G$194),0,(G25-MIN($G$2:$G$194))/(MAX($G$2:$G$194)-MIN($G$2:$G$194)))</f>
        <v/>
      </c>
      <c r="K25" s="9">
        <f>IF(MAX($H$2:$H$194)=MIN($H$2:$H$194),0,(H25-MIN($H$2:$H$194))/(MAX($H$2:$H$194)-MIN($H$2:$H$194)))</f>
        <v/>
      </c>
      <c r="L25" s="9">
        <f>I25+J25+K25</f>
        <v/>
      </c>
      <c r="M25" s="2" t="n">
        <v>5</v>
      </c>
      <c r="N25" s="2" t="n">
        <v>2</v>
      </c>
      <c r="O25" s="2" t="n">
        <v>2</v>
      </c>
      <c r="P25" s="2" t="n">
        <v>1</v>
      </c>
      <c r="Q25" s="2" t="n">
        <v>1</v>
      </c>
      <c r="R25" s="2" t="n">
        <v>7</v>
      </c>
      <c r="S25" s="2" t="n">
        <v>7</v>
      </c>
      <c r="T25" s="3" t="n">
        <v>0.375</v>
      </c>
      <c r="U25" s="2" t="n">
        <v>1</v>
      </c>
      <c r="V25" s="3" t="n">
        <v>0.5</v>
      </c>
      <c r="W25" s="3" t="n">
        <v>52.6909</v>
      </c>
      <c r="X25" s="3" t="n">
        <v>20.125</v>
      </c>
      <c r="Y25" s="3" t="n">
        <v>4771.3663</v>
      </c>
      <c r="Z25" s="3" t="n">
        <v>0.0945</v>
      </c>
      <c r="AA25" s="2" t="n">
        <v>47</v>
      </c>
      <c r="AB25" s="2" t="n">
        <v>33</v>
      </c>
      <c r="AC25" s="3" t="n">
        <v>237.0865</v>
      </c>
      <c r="AG25" s="7" t="n">
        <v>24</v>
      </c>
      <c r="AH25" s="7" t="inlineStr">
        <is>
          <t>Tasks.buildFleet(Scanner)</t>
        </is>
      </c>
      <c r="AI25" s="11">
        <f>IF(MAX($F$2:$F$194)=MIN($F$2:$F$194),0,(F25-MIN($F$2:$F$194))/(MAX($F$2:$F$194)-MIN($F$2:$F$194)))</f>
        <v/>
      </c>
      <c r="AJ25" s="11">
        <f>IF(MAX($G$2:$G$194)=MIN($G$2:$G$194),0,(G25-MIN($G$2:$G$194))/(MAX($G$2:$G$194)-MIN($G$2:$G$194)))</f>
        <v/>
      </c>
      <c r="AK25" s="11">
        <f>IF(MAX($H$2:$H$194)=MIN($H$2:$H$194),0,(H25-MIN($H$2:$H$194))/(MAX($H$2:$H$194)-MIN($H$2:$H$194)))</f>
        <v/>
      </c>
      <c r="AL25" s="12" t="n">
        <v>4</v>
      </c>
    </row>
    <row r="26">
      <c r="A26" s="7" t="inlineStr">
        <is>
          <t>Project</t>
        </is>
      </c>
      <c r="B26" s="7" t="inlineStr">
        <is>
          <t>battleship</t>
        </is>
      </c>
      <c r="C26" s="7" t="inlineStr">
        <is>
          <t>Fleet</t>
        </is>
      </c>
      <c r="D26" t="inlineStr">
        <is>
          <t>colisionRisk(IShip)</t>
        </is>
      </c>
      <c r="E26" t="inlineStr">
        <is>
          <t>Fleet.colisionRisk(IShip)</t>
        </is>
      </c>
      <c r="F26" s="8" t="n">
        <v>3</v>
      </c>
      <c r="G26" s="8" t="n">
        <v>1</v>
      </c>
      <c r="H26" s="8" t="n">
        <v>16</v>
      </c>
      <c r="I26" s="9">
        <f>IF(MAX($F$2:$F$194)=MIN($F$2:$F$194),0,(F26-MIN($F$2:$F$194))/(MAX($F$2:$F$194)-MIN($F$2:$F$194)))</f>
        <v/>
      </c>
      <c r="J26" s="9">
        <f>IF(MAX($G$2:$G$194)=MIN($G$2:$G$194),0,(G26-MIN($G$2:$G$194))/(MAX($G$2:$G$194)-MIN($G$2:$G$194)))</f>
        <v/>
      </c>
      <c r="K26" s="9">
        <f>IF(MAX($H$2:$H$194)=MIN($H$2:$H$194),0,(H26-MIN($H$2:$H$194))/(MAX($H$2:$H$194)-MIN($H$2:$H$194)))</f>
        <v/>
      </c>
      <c r="L26" s="9">
        <f>I26+J26+K26</f>
        <v/>
      </c>
      <c r="M26" s="2" t="n">
        <v>2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3</v>
      </c>
      <c r="S26" s="2" t="n">
        <v>3</v>
      </c>
      <c r="T26" s="3" t="n">
        <v>0.6667</v>
      </c>
      <c r="U26" s="2" t="n">
        <v>0</v>
      </c>
      <c r="V26" s="3" t="n">
        <v>1</v>
      </c>
      <c r="W26" s="3" t="n">
        <v>59.3475</v>
      </c>
      <c r="X26" s="3" t="n">
        <v>10.2143</v>
      </c>
      <c r="Y26" s="3" t="n">
        <v>1103.6352</v>
      </c>
      <c r="Z26" s="3" t="n">
        <v>0.0356</v>
      </c>
      <c r="AA26" s="2" t="n">
        <v>25</v>
      </c>
      <c r="AB26" s="2" t="n">
        <v>20</v>
      </c>
      <c r="AC26" s="3" t="n">
        <v>108.0482</v>
      </c>
      <c r="AG26" s="7" t="n">
        <v>25</v>
      </c>
      <c r="AH26" s="7" t="inlineStr">
        <is>
          <t>Fleet.colisionRisk(IShip)</t>
        </is>
      </c>
      <c r="AI26" s="11">
        <f>IF(MAX($F$2:$F$194)=MIN($F$2:$F$194),0,(F26-MIN($F$2:$F$194))/(MAX($F$2:$F$194)-MIN($F$2:$F$194)))</f>
        <v/>
      </c>
      <c r="AJ26" s="11">
        <f>IF(MAX($G$2:$G$194)=MIN($G$2:$G$194),0,(G26-MIN($G$2:$G$194))/(MAX($G$2:$G$194)-MIN($G$2:$G$194)))</f>
        <v/>
      </c>
      <c r="AK26" s="11">
        <f>IF(MAX($H$2:$H$194)=MIN($H$2:$H$194),0,(H26-MIN($H$2:$H$194))/(MAX($H$2:$H$194)-MIN($H$2:$H$194)))</f>
        <v/>
      </c>
      <c r="AL26" s="12" t="n">
        <v>3</v>
      </c>
    </row>
    <row r="27">
      <c r="A27" s="7" t="inlineStr">
        <is>
          <t>Project</t>
        </is>
      </c>
      <c r="B27" s="7" t="inlineStr">
        <is>
          <t>battleship</t>
        </is>
      </c>
      <c r="C27" s="7" t="inlineStr">
        <is>
          <t>Fleet</t>
        </is>
      </c>
      <c r="D27" t="inlineStr">
        <is>
          <t>getFloatingShips()</t>
        </is>
      </c>
      <c r="E27" t="inlineStr">
        <is>
          <t>Fleet.getFloatingShips()</t>
        </is>
      </c>
      <c r="F27" s="8" t="n">
        <v>3</v>
      </c>
      <c r="G27" s="8" t="n">
        <v>0</v>
      </c>
      <c r="H27" s="8" t="n">
        <v>19</v>
      </c>
      <c r="I27" s="9">
        <f>IF(MAX($F$2:$F$194)=MIN($F$2:$F$194),0,(F27-MIN($F$2:$F$194))/(MAX($F$2:$F$194)-MIN($F$2:$F$194)))</f>
        <v/>
      </c>
      <c r="J27" s="9">
        <f>IF(MAX($G$2:$G$194)=MIN($G$2:$G$194),0,(G27-MIN($G$2:$G$194))/(MAX($G$2:$G$194)-MIN($G$2:$G$194)))</f>
        <v/>
      </c>
      <c r="K27" s="9">
        <f>IF(MAX($H$2:$H$194)=MIN($H$2:$H$194),0,(H27-MIN($H$2:$H$194))/(MAX($H$2:$H$194)-MIN($H$2:$H$194)))</f>
        <v/>
      </c>
      <c r="L27" s="9">
        <f>I27+J27+K27</f>
        <v/>
      </c>
      <c r="M27" s="2" t="n">
        <v>2</v>
      </c>
      <c r="N27" s="2" t="n">
        <v>1</v>
      </c>
      <c r="O27" s="2" t="n">
        <v>0</v>
      </c>
      <c r="P27" s="2" t="n">
        <v>1</v>
      </c>
      <c r="Q27" s="2" t="n">
        <v>1</v>
      </c>
      <c r="R27" s="2" t="n">
        <v>3</v>
      </c>
      <c r="S27" s="2" t="n">
        <v>2</v>
      </c>
      <c r="T27" s="3" t="n">
        <v>1</v>
      </c>
      <c r="U27" s="2" t="n">
        <v>0</v>
      </c>
      <c r="V27" s="3" t="n">
        <v>1</v>
      </c>
      <c r="W27" s="3" t="n">
        <v>60.8169</v>
      </c>
      <c r="X27" s="3" t="n">
        <v>5.8333</v>
      </c>
      <c r="Y27" s="3" t="n">
        <v>232.535</v>
      </c>
      <c r="Z27" s="3" t="n">
        <v>0.0126</v>
      </c>
      <c r="AA27" s="2" t="n">
        <v>12</v>
      </c>
      <c r="AB27" s="2" t="n">
        <v>10</v>
      </c>
      <c r="AC27" s="3" t="n">
        <v>39.8631</v>
      </c>
      <c r="AG27" s="7" t="n">
        <v>26</v>
      </c>
      <c r="AH27" s="7" t="inlineStr">
        <is>
          <t>Fleet.getFloatingShips()</t>
        </is>
      </c>
      <c r="AI27" s="11">
        <f>IF(MAX($F$2:$F$194)=MIN($F$2:$F$194),0,(F27-MIN($F$2:$F$194))/(MAX($F$2:$F$194)-MIN($F$2:$F$194)))</f>
        <v/>
      </c>
      <c r="AJ27" s="11">
        <f>IF(MAX($G$2:$G$194)=MIN($G$2:$G$194),0,(G27-MIN($G$2:$G$194))/(MAX($G$2:$G$194)-MIN($G$2:$G$194)))</f>
        <v/>
      </c>
      <c r="AK27" s="11">
        <f>IF(MAX($H$2:$H$194)=MIN($H$2:$H$194),0,(H27-MIN($H$2:$H$194))/(MAX($H$2:$H$194)-MIN($H$2:$H$194)))</f>
        <v/>
      </c>
      <c r="AL27" s="12" t="n">
        <v>3</v>
      </c>
    </row>
    <row r="28">
      <c r="A28" s="7" t="inlineStr">
        <is>
          <t>Project</t>
        </is>
      </c>
      <c r="B28" s="7" t="inlineStr">
        <is>
          <t>battleship</t>
        </is>
      </c>
      <c r="C28" s="7" t="inlineStr">
        <is>
          <t>Fleet</t>
        </is>
      </c>
      <c r="D28" t="inlineStr">
        <is>
          <t>getShipsLike(String)</t>
        </is>
      </c>
      <c r="E28" t="inlineStr">
        <is>
          <t>Fleet.getShipsLike(String)</t>
        </is>
      </c>
      <c r="F28" s="8" t="n">
        <v>3</v>
      </c>
      <c r="G28" s="8" t="n">
        <v>1</v>
      </c>
      <c r="H28" s="8" t="n">
        <v>21</v>
      </c>
      <c r="I28" s="9">
        <f>IF(MAX($F$2:$F$194)=MIN($F$2:$F$194),0,(F28-MIN($F$2:$F$194))/(MAX($F$2:$F$194)-MIN($F$2:$F$194)))</f>
        <v/>
      </c>
      <c r="J28" s="9">
        <f>IF(MAX($G$2:$G$194)=MIN($G$2:$G$194),0,(G28-MIN($G$2:$G$194))/(MAX($G$2:$G$194)-MIN($G$2:$G$194)))</f>
        <v/>
      </c>
      <c r="K28" s="9">
        <f>IF(MAX($H$2:$H$194)=MIN($H$2:$H$194),0,(H28-MIN($H$2:$H$194))/(MAX($H$2:$H$194)-MIN($H$2:$H$194)))</f>
        <v/>
      </c>
      <c r="L28" s="9">
        <f>I28+J28+K28</f>
        <v/>
      </c>
      <c r="M28" s="2" t="n">
        <v>2</v>
      </c>
      <c r="N28" s="2" t="n">
        <v>1</v>
      </c>
      <c r="O28" s="2" t="n">
        <v>0</v>
      </c>
      <c r="P28" s="2" t="n">
        <v>1</v>
      </c>
      <c r="Q28" s="2" t="n">
        <v>1</v>
      </c>
      <c r="R28" s="2" t="n">
        <v>4</v>
      </c>
      <c r="S28" s="2" t="n">
        <v>3</v>
      </c>
      <c r="T28" s="3" t="n">
        <v>1</v>
      </c>
      <c r="U28" s="2" t="n">
        <v>0</v>
      </c>
      <c r="V28" s="3" t="n">
        <v>1</v>
      </c>
      <c r="W28" s="3" t="n">
        <v>58.09</v>
      </c>
      <c r="X28" s="3" t="n">
        <v>8</v>
      </c>
      <c r="Y28" s="3" t="n">
        <v>562.5922</v>
      </c>
      <c r="Z28" s="3" t="n">
        <v>0.0227</v>
      </c>
      <c r="AA28" s="2" t="n">
        <v>18</v>
      </c>
      <c r="AB28" s="2" t="n">
        <v>15</v>
      </c>
      <c r="AC28" s="3" t="n">
        <v>70.324</v>
      </c>
      <c r="AG28" s="7" t="n">
        <v>27</v>
      </c>
      <c r="AH28" s="7" t="inlineStr">
        <is>
          <t>Fleet.getShipsLike(String)</t>
        </is>
      </c>
      <c r="AI28" s="11">
        <f>IF(MAX($F$2:$F$194)=MIN($F$2:$F$194),0,(F28-MIN($F$2:$F$194))/(MAX($F$2:$F$194)-MIN($F$2:$F$194)))</f>
        <v/>
      </c>
      <c r="AJ28" s="11">
        <f>IF(MAX($G$2:$G$194)=MIN($G$2:$G$194),0,(G28-MIN($G$2:$G$194))/(MAX($G$2:$G$194)-MIN($G$2:$G$194)))</f>
        <v/>
      </c>
      <c r="AK28" s="11">
        <f>IF(MAX($H$2:$H$194)=MIN($H$2:$H$194),0,(H28-MIN($H$2:$H$194))/(MAX($H$2:$H$194)-MIN($H$2:$H$194)))</f>
        <v/>
      </c>
      <c r="AL28" s="12" t="n">
        <v>3</v>
      </c>
    </row>
    <row r="29">
      <c r="A29" s="7" t="inlineStr">
        <is>
          <t>Project</t>
        </is>
      </c>
      <c r="B29" s="7" t="inlineStr">
        <is>
          <t>battleship</t>
        </is>
      </c>
      <c r="C29" s="7" t="inlineStr">
        <is>
          <t>Fleet</t>
        </is>
      </c>
      <c r="D29" t="inlineStr">
        <is>
          <t>getSunkShips()</t>
        </is>
      </c>
      <c r="E29" t="inlineStr">
        <is>
          <t>Fleet.getSunkShips()</t>
        </is>
      </c>
      <c r="F29" s="8" t="n">
        <v>3</v>
      </c>
      <c r="G29" s="8" t="n">
        <v>0</v>
      </c>
      <c r="H29" s="8" t="n">
        <v>19</v>
      </c>
      <c r="I29" s="9">
        <f>IF(MAX($F$2:$F$194)=MIN($F$2:$F$194),0,(F29-MIN($F$2:$F$194))/(MAX($F$2:$F$194)-MIN($F$2:$F$194)))</f>
        <v/>
      </c>
      <c r="J29" s="9">
        <f>IF(MAX($G$2:$G$194)=MIN($G$2:$G$194),0,(G29-MIN($G$2:$G$194))/(MAX($G$2:$G$194)-MIN($G$2:$G$194)))</f>
        <v/>
      </c>
      <c r="K29" s="9">
        <f>IF(MAX($H$2:$H$194)=MIN($H$2:$H$194),0,(H29-MIN($H$2:$H$194))/(MAX($H$2:$H$194)-MIN($H$2:$H$194)))</f>
        <v/>
      </c>
      <c r="L29" s="9">
        <f>I29+J29+K29</f>
        <v/>
      </c>
      <c r="M29" s="2" t="n">
        <v>2</v>
      </c>
      <c r="N29" s="2" t="n">
        <v>1</v>
      </c>
      <c r="O29" s="2" t="n">
        <v>0</v>
      </c>
      <c r="P29" s="2" t="n">
        <v>1</v>
      </c>
      <c r="Q29" s="2" t="n">
        <v>1</v>
      </c>
      <c r="R29" s="2" t="n">
        <v>3</v>
      </c>
      <c r="S29" s="2" t="n">
        <v>2</v>
      </c>
      <c r="T29" s="3" t="n">
        <v>1</v>
      </c>
      <c r="U29" s="2" t="n">
        <v>0</v>
      </c>
      <c r="V29" s="3" t="n">
        <v>1</v>
      </c>
      <c r="W29" s="3" t="n">
        <v>60.4501</v>
      </c>
      <c r="X29" s="3" t="n">
        <v>6.6667</v>
      </c>
      <c r="Y29" s="3" t="n">
        <v>299.8174</v>
      </c>
      <c r="Z29" s="3" t="n">
        <v>0.0149</v>
      </c>
      <c r="AA29" s="2" t="n">
        <v>13</v>
      </c>
      <c r="AB29" s="2" t="n">
        <v>11</v>
      </c>
      <c r="AC29" s="3" t="n">
        <v>44.9726</v>
      </c>
      <c r="AG29" s="7" t="n">
        <v>28</v>
      </c>
      <c r="AH29" s="7" t="inlineStr">
        <is>
          <t>Fleet.getSunkShips()</t>
        </is>
      </c>
      <c r="AI29" s="11">
        <f>IF(MAX($F$2:$F$194)=MIN($F$2:$F$194),0,(F29-MIN($F$2:$F$194))/(MAX($F$2:$F$194)-MIN($F$2:$F$194)))</f>
        <v/>
      </c>
      <c r="AJ29" s="11">
        <f>IF(MAX($G$2:$G$194)=MIN($G$2:$G$194),0,(G29-MIN($G$2:$G$194))/(MAX($G$2:$G$194)-MIN($G$2:$G$194)))</f>
        <v/>
      </c>
      <c r="AK29" s="11">
        <f>IF(MAX($H$2:$H$194)=MIN($H$2:$H$194),0,(H29-MIN($H$2:$H$194))/(MAX($H$2:$H$194)-MIN($H$2:$H$194)))</f>
        <v/>
      </c>
      <c r="AL29" s="12" t="n">
        <v>3</v>
      </c>
    </row>
    <row r="30">
      <c r="A30" s="7" t="inlineStr">
        <is>
          <t>Project</t>
        </is>
      </c>
      <c r="B30" s="7" t="inlineStr">
        <is>
          <t>battleship</t>
        </is>
      </c>
      <c r="C30" s="7" t="inlineStr">
        <is>
          <t>Fleet</t>
        </is>
      </c>
      <c r="D30" t="inlineStr">
        <is>
          <t>shipAt(IPosition)</t>
        </is>
      </c>
      <c r="E30" t="inlineStr">
        <is>
          <t>Fleet.shipAt(IPosition)</t>
        </is>
      </c>
      <c r="F30" s="8" t="n">
        <v>3</v>
      </c>
      <c r="G30" s="8" t="n">
        <v>1</v>
      </c>
      <c r="H30" s="8" t="n">
        <v>20</v>
      </c>
      <c r="I30" s="9">
        <f>IF(MAX($F$2:$F$194)=MIN($F$2:$F$194),0,(F30-MIN($F$2:$F$194))/(MAX($F$2:$F$194)-MIN($F$2:$F$194)))</f>
        <v/>
      </c>
      <c r="J30" s="9">
        <f>IF(MAX($G$2:$G$194)=MIN($G$2:$G$194),0,(G30-MIN($G$2:$G$194))/(MAX($G$2:$G$194)-MIN($G$2:$G$194)))</f>
        <v/>
      </c>
      <c r="K30" s="9">
        <f>IF(MAX($H$2:$H$194)=MIN($H$2:$H$194),0,(H30-MIN($H$2:$H$194))/(MAX($H$2:$H$194)-MIN($H$2:$H$194)))</f>
        <v/>
      </c>
      <c r="L30" s="9">
        <f>I30+J30+K30</f>
        <v/>
      </c>
      <c r="M30" s="2" t="n">
        <v>2</v>
      </c>
      <c r="N30" s="2" t="n">
        <v>1</v>
      </c>
      <c r="O30" s="2" t="n">
        <v>0</v>
      </c>
      <c r="P30" s="2" t="n">
        <v>1</v>
      </c>
      <c r="Q30" s="2" t="n">
        <v>1</v>
      </c>
      <c r="R30" s="2" t="n">
        <v>3</v>
      </c>
      <c r="S30" s="2" t="n">
        <v>1</v>
      </c>
      <c r="T30" s="3" t="n">
        <v>1</v>
      </c>
      <c r="U30" s="2" t="n">
        <v>0</v>
      </c>
      <c r="V30" s="3" t="n">
        <v>1</v>
      </c>
      <c r="W30" s="3" t="n">
        <v>59.5152</v>
      </c>
      <c r="X30" s="3" t="n">
        <v>6.125</v>
      </c>
      <c r="Y30" s="3" t="n">
        <v>317.8353</v>
      </c>
      <c r="Z30" s="3" t="n">
        <v>0.0155</v>
      </c>
      <c r="AA30" s="2" t="n">
        <v>15</v>
      </c>
      <c r="AB30" s="2" t="n">
        <v>11</v>
      </c>
      <c r="AC30" s="3" t="n">
        <v>51.8915</v>
      </c>
      <c r="AG30" s="7" t="n">
        <v>29</v>
      </c>
      <c r="AH30" s="7" t="inlineStr">
        <is>
          <t>Fleet.shipAt(IPosition)</t>
        </is>
      </c>
      <c r="AI30" s="11">
        <f>IF(MAX($F$2:$F$194)=MIN($F$2:$F$194),0,(F30-MIN($F$2:$F$194))/(MAX($F$2:$F$194)-MIN($F$2:$F$194)))</f>
        <v/>
      </c>
      <c r="AJ30" s="11">
        <f>IF(MAX($G$2:$G$194)=MIN($G$2:$G$194),0,(G30-MIN($G$2:$G$194))/(MAX($G$2:$G$194)-MIN($G$2:$G$194)))</f>
        <v/>
      </c>
      <c r="AK30" s="11">
        <f>IF(MAX($H$2:$H$194)=MIN($H$2:$H$194),0,(H30-MIN($H$2:$H$194))/(MAX($H$2:$H$194)-MIN($H$2:$H$194)))</f>
        <v/>
      </c>
      <c r="AL30" s="12" t="n">
        <v>3</v>
      </c>
    </row>
    <row r="31">
      <c r="A31" s="7" t="inlineStr">
        <is>
          <t>Project</t>
        </is>
      </c>
      <c r="B31" s="7" t="inlineStr">
        <is>
          <t>battleship</t>
        </is>
      </c>
      <c r="C31" s="7" t="inlineStr">
        <is>
          <t>Galleon</t>
        </is>
      </c>
      <c r="D31" t="inlineStr">
        <is>
          <t>fillSouth(IPosition)</t>
        </is>
      </c>
      <c r="E31" t="inlineStr">
        <is>
          <t>Galleon.fillSouth(IPosition)</t>
        </is>
      </c>
      <c r="F31" s="8" t="n">
        <v>3</v>
      </c>
      <c r="G31" s="8" t="n">
        <v>1</v>
      </c>
      <c r="H31" s="8" t="n">
        <v>13</v>
      </c>
      <c r="I31" s="9">
        <f>IF(MAX($F$2:$F$194)=MIN($F$2:$F$194),0,(F31-MIN($F$2:$F$194))/(MAX($F$2:$F$194)-MIN($F$2:$F$194)))</f>
        <v/>
      </c>
      <c r="J31" s="9">
        <f>IF(MAX($G$2:$G$194)=MIN($G$2:$G$194),0,(G31-MIN($G$2:$G$194))/(MAX($G$2:$G$194)-MIN($G$2:$G$194)))</f>
        <v/>
      </c>
      <c r="K31" s="9">
        <f>IF(MAX($H$2:$H$194)=MIN($H$2:$H$194),0,(H31-MIN($H$2:$H$194))/(MAX($H$2:$H$194)-MIN($H$2:$H$194)))</f>
        <v/>
      </c>
      <c r="L31" s="9">
        <f>I31+J31+K31</f>
        <v/>
      </c>
      <c r="M31" s="2" t="n">
        <v>2</v>
      </c>
      <c r="N31" s="2" t="n">
        <v>0</v>
      </c>
      <c r="O31" s="2" t="n">
        <v>1</v>
      </c>
      <c r="P31" s="2" t="n">
        <v>1</v>
      </c>
      <c r="Q31" s="2" t="n">
        <v>2</v>
      </c>
      <c r="R31" s="2" t="n">
        <v>3</v>
      </c>
      <c r="S31" s="2" t="n">
        <v>4</v>
      </c>
      <c r="T31" s="3" t="n">
        <v>0.75</v>
      </c>
      <c r="U31" s="2" t="n">
        <v>0</v>
      </c>
      <c r="V31" s="3" t="n">
        <v>0</v>
      </c>
      <c r="W31" s="3" t="n">
        <v>59.8995</v>
      </c>
      <c r="X31" s="3" t="n">
        <v>14.8571</v>
      </c>
      <c r="Y31" s="3" t="n">
        <v>2568.4601</v>
      </c>
      <c r="Z31" s="3" t="n">
        <v>0.0625</v>
      </c>
      <c r="AA31" s="2" t="n">
        <v>40</v>
      </c>
      <c r="AB31" s="2" t="n">
        <v>20</v>
      </c>
      <c r="AC31" s="3" t="n">
        <v>172.8771</v>
      </c>
      <c r="AG31" s="7" t="n">
        <v>30</v>
      </c>
      <c r="AH31" s="7" t="inlineStr">
        <is>
          <t>Galleon.fillSouth(IPosition)</t>
        </is>
      </c>
      <c r="AI31" s="11">
        <f>IF(MAX($F$2:$F$194)=MIN($F$2:$F$194),0,(F31-MIN($F$2:$F$194))/(MAX($F$2:$F$194)-MIN($F$2:$F$194)))</f>
        <v/>
      </c>
      <c r="AJ31" s="11">
        <f>IF(MAX($G$2:$G$194)=MIN($G$2:$G$194),0,(G31-MIN($G$2:$G$194))/(MAX($G$2:$G$194)-MIN($G$2:$G$194)))</f>
        <v/>
      </c>
      <c r="AK31" s="11">
        <f>IF(MAX($H$2:$H$194)=MIN($H$2:$H$194),0,(H31-MIN($H$2:$H$194))/(MAX($H$2:$H$194)-MIN($H$2:$H$194)))</f>
        <v/>
      </c>
      <c r="AL31" s="12" t="n">
        <v>3</v>
      </c>
    </row>
    <row r="32">
      <c r="A32" s="7" t="inlineStr">
        <is>
          <t>Project</t>
        </is>
      </c>
      <c r="B32" s="7" t="inlineStr">
        <is>
          <t>battleship</t>
        </is>
      </c>
      <c r="C32" s="7" t="inlineStr">
        <is>
          <t>Game</t>
        </is>
      </c>
      <c r="D32" t="inlineStr">
        <is>
          <t>fireShots(List&lt;IPosition&gt;)</t>
        </is>
      </c>
      <c r="E32" t="inlineStr">
        <is>
          <t>Game.fireShots(List&lt;IPosition&gt;)</t>
        </is>
      </c>
      <c r="F32" s="8" t="n">
        <v>3</v>
      </c>
      <c r="G32" s="8" t="n">
        <v>1</v>
      </c>
      <c r="H32" s="8" t="n">
        <v>30</v>
      </c>
      <c r="I32" s="9">
        <f>IF(MAX($F$2:$F$194)=MIN($F$2:$F$194),0,(F32-MIN($F$2:$F$194))/(MAX($F$2:$F$194)-MIN($F$2:$F$194)))</f>
        <v/>
      </c>
      <c r="J32" s="9">
        <f>IF(MAX($G$2:$G$194)=MIN($G$2:$G$194),0,(G32-MIN($G$2:$G$194))/(MAX($G$2:$G$194)-MIN($G$2:$G$194)))</f>
        <v/>
      </c>
      <c r="K32" s="9">
        <f>IF(MAX($H$2:$H$194)=MIN($H$2:$H$194),0,(H32-MIN($H$2:$H$194))/(MAX($H$2:$H$194)-MIN($H$2:$H$194)))</f>
        <v/>
      </c>
      <c r="L32" s="9">
        <f>I32+J32+K32</f>
        <v/>
      </c>
      <c r="M32" s="2" t="n">
        <v>2</v>
      </c>
      <c r="N32" s="2" t="n">
        <v>1</v>
      </c>
      <c r="O32" s="2" t="n">
        <v>1</v>
      </c>
      <c r="P32" s="2" t="n">
        <v>1</v>
      </c>
      <c r="Q32" s="2" t="n">
        <v>1</v>
      </c>
      <c r="R32" s="2" t="n">
        <v>8</v>
      </c>
      <c r="S32" s="2" t="n">
        <v>4</v>
      </c>
      <c r="T32" s="3" t="n">
        <v>0.4</v>
      </c>
      <c r="U32" s="2" t="n">
        <v>0</v>
      </c>
      <c r="V32" s="3" t="n">
        <v>1</v>
      </c>
      <c r="W32" s="3" t="n">
        <v>51.5645</v>
      </c>
      <c r="X32" s="3" t="n">
        <v>12.8333</v>
      </c>
      <c r="Y32" s="3" t="n">
        <v>2533.537</v>
      </c>
      <c r="Z32" s="3" t="n">
        <v>0.0619</v>
      </c>
      <c r="AA32" s="2" t="n">
        <v>42</v>
      </c>
      <c r="AB32" s="2" t="n">
        <v>26</v>
      </c>
      <c r="AC32" s="3" t="n">
        <v>197.4185</v>
      </c>
    </row>
    <row r="33">
      <c r="A33" s="7" t="inlineStr">
        <is>
          <t>Project</t>
        </is>
      </c>
      <c r="B33" s="7" t="inlineStr">
        <is>
          <t>battleship</t>
        </is>
      </c>
      <c r="C33" s="7" t="inlineStr">
        <is>
          <t>Game</t>
        </is>
      </c>
      <c r="D33" t="inlineStr">
        <is>
          <t>jsonShots(List&lt;IPosition&gt;)</t>
        </is>
      </c>
      <c r="E33" t="inlineStr">
        <is>
          <t>Game.jsonShots(List&lt;IPosition&gt;)</t>
        </is>
      </c>
      <c r="F33" s="8" t="n">
        <v>3</v>
      </c>
      <c r="G33" s="8" t="n">
        <v>1</v>
      </c>
      <c r="H33" s="8" t="n">
        <v>38</v>
      </c>
      <c r="I33" s="9">
        <f>IF(MAX($F$2:$F$194)=MIN($F$2:$F$194),0,(F33-MIN($F$2:$F$194))/(MAX($F$2:$F$194)-MIN($F$2:$F$194)))</f>
        <v/>
      </c>
      <c r="J33" s="9">
        <f>IF(MAX($G$2:$G$194)=MIN($G$2:$G$194),0,(G33-MIN($G$2:$G$194))/(MAX($G$2:$G$194)-MIN($G$2:$G$194)))</f>
        <v/>
      </c>
      <c r="K33" s="9">
        <f>IF(MAX($H$2:$H$194)=MIN($H$2:$H$194),0,(H33-MIN($H$2:$H$194))/(MAX($H$2:$H$194)-MIN($H$2:$H$194)))</f>
        <v/>
      </c>
      <c r="L33" s="9">
        <f>I33+J33+K33</f>
        <v/>
      </c>
      <c r="M33" s="2" t="n">
        <v>2</v>
      </c>
      <c r="N33" s="2" t="n">
        <v>0</v>
      </c>
      <c r="O33" s="2" t="n">
        <v>1</v>
      </c>
      <c r="P33" s="2" t="n">
        <v>1</v>
      </c>
      <c r="Q33" s="2" t="n">
        <v>1</v>
      </c>
      <c r="R33" s="2" t="n">
        <v>8</v>
      </c>
      <c r="S33" s="2" t="n">
        <v>7</v>
      </c>
      <c r="T33" s="3" t="n">
        <v>0.7143</v>
      </c>
      <c r="U33" s="2" t="n">
        <v>1</v>
      </c>
      <c r="V33" s="3" t="n">
        <v>0</v>
      </c>
      <c r="W33" s="3" t="n">
        <v>49.2943</v>
      </c>
      <c r="X33" s="3" t="n">
        <v>14.1667</v>
      </c>
      <c r="Y33" s="3" t="n">
        <v>2821.6773</v>
      </c>
      <c r="Z33" s="3" t="n">
        <v>0.06660000000000001</v>
      </c>
      <c r="AA33" s="2" t="n">
        <v>41</v>
      </c>
      <c r="AB33" s="2" t="n">
        <v>29</v>
      </c>
      <c r="AC33" s="3" t="n">
        <v>199.1772</v>
      </c>
    </row>
    <row r="34">
      <c r="A34" s="7" t="inlineStr">
        <is>
          <t>Project</t>
        </is>
      </c>
      <c r="B34" s="7" t="inlineStr">
        <is>
          <t>battleship</t>
        </is>
      </c>
      <c r="C34" s="7" t="inlineStr">
        <is>
          <t>Game</t>
        </is>
      </c>
      <c r="D34" t="inlineStr">
        <is>
          <t>repeatedShot(IPosition)</t>
        </is>
      </c>
      <c r="E34" t="inlineStr">
        <is>
          <t>Game.repeatedShot(IPosition)</t>
        </is>
      </c>
      <c r="F34" s="8" t="n">
        <v>3</v>
      </c>
      <c r="G34" s="8" t="n">
        <v>1</v>
      </c>
      <c r="H34" s="8" t="n">
        <v>8</v>
      </c>
      <c r="I34" s="9">
        <f>IF(MAX($F$2:$F$194)=MIN($F$2:$F$194),0,(F34-MIN($F$2:$F$194))/(MAX($F$2:$F$194)-MIN($F$2:$F$194)))</f>
        <v/>
      </c>
      <c r="J34" s="9">
        <f>IF(MAX($G$2:$G$194)=MIN($G$2:$G$194),0,(G34-MIN($G$2:$G$194))/(MAX($G$2:$G$194)-MIN($G$2:$G$194)))</f>
        <v/>
      </c>
      <c r="K34" s="9">
        <f>IF(MAX($H$2:$H$194)=MIN($H$2:$H$194),0,(H34-MIN($H$2:$H$194))/(MAX($H$2:$H$194)-MIN($H$2:$H$194)))</f>
        <v/>
      </c>
      <c r="L34" s="9">
        <f>I34+J34+K34</f>
        <v/>
      </c>
      <c r="M34" s="2" t="n">
        <v>2</v>
      </c>
      <c r="N34" s="2" t="n">
        <v>1</v>
      </c>
      <c r="O34" s="2" t="n">
        <v>0</v>
      </c>
      <c r="P34" s="2" t="n">
        <v>1</v>
      </c>
      <c r="Q34" s="2" t="n">
        <v>1</v>
      </c>
      <c r="R34" s="2" t="n">
        <v>3</v>
      </c>
      <c r="S34" s="2" t="n">
        <v>2</v>
      </c>
      <c r="T34" s="3" t="n">
        <v>1</v>
      </c>
      <c r="U34" s="2" t="n">
        <v>0</v>
      </c>
      <c r="V34" s="3" t="n">
        <v>1</v>
      </c>
      <c r="W34" s="3" t="n">
        <v>67.4118</v>
      </c>
      <c r="X34" s="3" t="n">
        <v>5.25</v>
      </c>
      <c r="Y34" s="3" t="n">
        <v>348.69</v>
      </c>
      <c r="Z34" s="3" t="n">
        <v>0.0165</v>
      </c>
      <c r="AA34" s="2" t="n">
        <v>17</v>
      </c>
      <c r="AB34" s="2" t="n">
        <v>15</v>
      </c>
      <c r="AC34" s="3" t="n">
        <v>66.4171</v>
      </c>
    </row>
    <row r="35">
      <c r="A35" s="7" t="inlineStr">
        <is>
          <t>Project</t>
        </is>
      </c>
      <c r="B35" s="7" t="inlineStr">
        <is>
          <t>battleship</t>
        </is>
      </c>
      <c r="C35" s="7" t="inlineStr">
        <is>
          <t>Position</t>
        </is>
      </c>
      <c r="D35" t="inlineStr">
        <is>
          <t>adjacentPositions()</t>
        </is>
      </c>
      <c r="E35" t="inlineStr">
        <is>
          <t>Position.adjacentPositions()</t>
        </is>
      </c>
      <c r="F35" s="8" t="n">
        <v>3</v>
      </c>
      <c r="G35" s="8" t="n">
        <v>0</v>
      </c>
      <c r="H35" s="8" t="n">
        <v>31</v>
      </c>
      <c r="I35" s="9">
        <f>IF(MAX($F$2:$F$194)=MIN($F$2:$F$194),0,(F35-MIN($F$2:$F$194))/(MAX($F$2:$F$194)-MIN($F$2:$F$194)))</f>
        <v/>
      </c>
      <c r="J35" s="9">
        <f>IF(MAX($G$2:$G$194)=MIN($G$2:$G$194),0,(G35-MIN($G$2:$G$194))/(MAX($G$2:$G$194)-MIN($G$2:$G$194)))</f>
        <v/>
      </c>
      <c r="K35" s="9">
        <f>IF(MAX($H$2:$H$194)=MIN($H$2:$H$194),0,(H35-MIN($H$2:$H$194))/(MAX($H$2:$H$194)-MIN($H$2:$H$194)))</f>
        <v/>
      </c>
      <c r="L35" s="9">
        <f>I35+J35+K35</f>
        <v/>
      </c>
      <c r="M35" s="2" t="n">
        <v>2</v>
      </c>
      <c r="N35" s="2" t="n">
        <v>1</v>
      </c>
      <c r="O35" s="2" t="n">
        <v>2</v>
      </c>
      <c r="P35" s="2" t="n">
        <v>1</v>
      </c>
      <c r="Q35" s="2" t="n">
        <v>1</v>
      </c>
      <c r="R35" s="2" t="n">
        <v>6</v>
      </c>
      <c r="S35" s="2" t="n">
        <v>1</v>
      </c>
      <c r="T35" s="3" t="n">
        <v>0.25</v>
      </c>
      <c r="U35" s="2" t="n">
        <v>0</v>
      </c>
      <c r="V35" s="3" t="n">
        <v>1</v>
      </c>
      <c r="W35" s="3" t="n">
        <v>50.8228</v>
      </c>
      <c r="X35" s="3" t="n">
        <v>19.5</v>
      </c>
      <c r="Y35" s="3" t="n">
        <v>4434.9047</v>
      </c>
      <c r="Z35" s="3" t="n">
        <v>0.09</v>
      </c>
      <c r="AA35" s="2" t="n">
        <v>51</v>
      </c>
      <c r="AB35" s="2" t="n">
        <v>22</v>
      </c>
      <c r="AC35" s="3" t="n">
        <v>227.431</v>
      </c>
    </row>
    <row r="36">
      <c r="A36" s="7" t="inlineStr">
        <is>
          <t>Project</t>
        </is>
      </c>
      <c r="B36" s="7" t="inlineStr">
        <is>
          <t>battleship</t>
        </is>
      </c>
      <c r="C36" s="7" t="inlineStr">
        <is>
          <t>Ship</t>
        </is>
      </c>
      <c r="D36" t="inlineStr">
        <is>
          <t>getBottomMostPos()</t>
        </is>
      </c>
      <c r="E36" t="inlineStr">
        <is>
          <t>Ship.getBottomMostPos()</t>
        </is>
      </c>
      <c r="F36" s="8" t="n">
        <v>3</v>
      </c>
      <c r="G36" s="8" t="n">
        <v>0</v>
      </c>
      <c r="H36" s="8" t="n">
        <v>19</v>
      </c>
      <c r="I36" s="9">
        <f>IF(MAX($F$2:$F$194)=MIN($F$2:$F$194),0,(F36-MIN($F$2:$F$194))/(MAX($F$2:$F$194)-MIN($F$2:$F$194)))</f>
        <v/>
      </c>
      <c r="J36" s="9">
        <f>IF(MAX($G$2:$G$194)=MIN($G$2:$G$194),0,(G36-MIN($G$2:$G$194))/(MAX($G$2:$G$194)-MIN($G$2:$G$194)))</f>
        <v/>
      </c>
      <c r="K36" s="9">
        <f>IF(MAX($H$2:$H$194)=MIN($H$2:$H$194),0,(H36-MIN($H$2:$H$194))/(MAX($H$2:$H$194)-MIN($H$2:$H$194)))</f>
        <v/>
      </c>
      <c r="L36" s="9">
        <f>I36+J36+K36</f>
        <v/>
      </c>
      <c r="M36" s="2" t="n">
        <v>2</v>
      </c>
      <c r="N36" s="2" t="n">
        <v>1</v>
      </c>
      <c r="O36" s="2" t="n">
        <v>0</v>
      </c>
      <c r="P36" s="2" t="n">
        <v>1</v>
      </c>
      <c r="Q36" s="2" t="n">
        <v>1</v>
      </c>
      <c r="R36" s="2" t="n">
        <v>2</v>
      </c>
      <c r="S36" s="2" t="n">
        <v>2</v>
      </c>
      <c r="T36" s="3" t="n">
        <v>0.5</v>
      </c>
      <c r="U36" s="2" t="n">
        <v>0</v>
      </c>
      <c r="V36" s="3" t="n">
        <v>1</v>
      </c>
      <c r="W36" s="3" t="n">
        <v>57.5022</v>
      </c>
      <c r="X36" s="3" t="n">
        <v>13.5</v>
      </c>
      <c r="Y36" s="3" t="n">
        <v>1566</v>
      </c>
      <c r="Z36" s="3" t="n">
        <v>0.045</v>
      </c>
      <c r="AA36" s="2" t="n">
        <v>29</v>
      </c>
      <c r="AB36" s="2" t="n">
        <v>16</v>
      </c>
      <c r="AC36" s="3" t="n">
        <v>116</v>
      </c>
    </row>
    <row r="37">
      <c r="A37" s="7" t="inlineStr">
        <is>
          <t>Project</t>
        </is>
      </c>
      <c r="B37" s="7" t="inlineStr">
        <is>
          <t>battleship</t>
        </is>
      </c>
      <c r="C37" s="7" t="inlineStr">
        <is>
          <t>Ship</t>
        </is>
      </c>
      <c r="D37" t="inlineStr">
        <is>
          <t>getLeftMostPos()</t>
        </is>
      </c>
      <c r="E37" t="inlineStr">
        <is>
          <t>Ship.getLeftMostPos()</t>
        </is>
      </c>
      <c r="F37" s="8" t="n">
        <v>3</v>
      </c>
      <c r="G37" s="8" t="n">
        <v>0</v>
      </c>
      <c r="H37" s="8" t="n">
        <v>19</v>
      </c>
      <c r="I37" s="9">
        <f>IF(MAX($F$2:$F$194)=MIN($F$2:$F$194),0,(F37-MIN($F$2:$F$194))/(MAX($F$2:$F$194)-MIN($F$2:$F$194)))</f>
        <v/>
      </c>
      <c r="J37" s="9">
        <f>IF(MAX($G$2:$G$194)=MIN($G$2:$G$194),0,(G37-MIN($G$2:$G$194))/(MAX($G$2:$G$194)-MIN($G$2:$G$194)))</f>
        <v/>
      </c>
      <c r="K37" s="9">
        <f>IF(MAX($H$2:$H$194)=MIN($H$2:$H$194),0,(H37-MIN($H$2:$H$194))/(MAX($H$2:$H$194)-MIN($H$2:$H$194)))</f>
        <v/>
      </c>
      <c r="L37" s="9">
        <f>I37+J37+K37</f>
        <v/>
      </c>
      <c r="M37" s="2" t="n">
        <v>2</v>
      </c>
      <c r="N37" s="2" t="n">
        <v>1</v>
      </c>
      <c r="O37" s="2" t="n">
        <v>0</v>
      </c>
      <c r="P37" s="2" t="n">
        <v>1</v>
      </c>
      <c r="Q37" s="2" t="n">
        <v>1</v>
      </c>
      <c r="R37" s="2" t="n">
        <v>2</v>
      </c>
      <c r="S37" s="2" t="n">
        <v>2</v>
      </c>
      <c r="T37" s="3" t="n">
        <v>0.5</v>
      </c>
      <c r="U37" s="2" t="n">
        <v>0</v>
      </c>
      <c r="V37" s="3" t="n">
        <v>1</v>
      </c>
      <c r="W37" s="3" t="n">
        <v>57.5819</v>
      </c>
      <c r="X37" s="3" t="n">
        <v>12.375</v>
      </c>
      <c r="Y37" s="3" t="n">
        <v>1402.0854</v>
      </c>
      <c r="Z37" s="3" t="n">
        <v>0.0418</v>
      </c>
      <c r="AA37" s="2" t="n">
        <v>29</v>
      </c>
      <c r="AB37" s="2" t="n">
        <v>15</v>
      </c>
      <c r="AC37" s="3" t="n">
        <v>113.2998</v>
      </c>
    </row>
    <row r="38">
      <c r="A38" s="7" t="inlineStr">
        <is>
          <t>Project</t>
        </is>
      </c>
      <c r="B38" s="7" t="inlineStr">
        <is>
          <t>battleship</t>
        </is>
      </c>
      <c r="C38" s="7" t="inlineStr">
        <is>
          <t>Ship</t>
        </is>
      </c>
      <c r="D38" t="inlineStr">
        <is>
          <t>getRightMostPos()</t>
        </is>
      </c>
      <c r="E38" t="inlineStr">
        <is>
          <t>Ship.getRightMostPos()</t>
        </is>
      </c>
      <c r="F38" s="8" t="n">
        <v>3</v>
      </c>
      <c r="G38" s="8" t="n">
        <v>0</v>
      </c>
      <c r="H38" s="8" t="n">
        <v>19</v>
      </c>
      <c r="I38" s="9">
        <f>IF(MAX($F$2:$F$194)=MIN($F$2:$F$194),0,(F38-MIN($F$2:$F$194))/(MAX($F$2:$F$194)-MIN($F$2:$F$194)))</f>
        <v/>
      </c>
      <c r="J38" s="9">
        <f>IF(MAX($G$2:$G$194)=MIN($G$2:$G$194),0,(G38-MIN($G$2:$G$194))/(MAX($G$2:$G$194)-MIN($G$2:$G$194)))</f>
        <v/>
      </c>
      <c r="K38" s="9">
        <f>IF(MAX($H$2:$H$194)=MIN($H$2:$H$194),0,(H38-MIN($H$2:$H$194))/(MAX($H$2:$H$194)-MIN($H$2:$H$194)))</f>
        <v/>
      </c>
      <c r="L38" s="9">
        <f>I38+J38+K38</f>
        <v/>
      </c>
      <c r="M38" s="2" t="n">
        <v>2</v>
      </c>
      <c r="N38" s="2" t="n">
        <v>1</v>
      </c>
      <c r="O38" s="2" t="n">
        <v>0</v>
      </c>
      <c r="P38" s="2" t="n">
        <v>1</v>
      </c>
      <c r="Q38" s="2" t="n">
        <v>1</v>
      </c>
      <c r="R38" s="2" t="n">
        <v>2</v>
      </c>
      <c r="S38" s="2" t="n">
        <v>2</v>
      </c>
      <c r="T38" s="3" t="n">
        <v>0.5</v>
      </c>
      <c r="U38" s="2" t="n">
        <v>0</v>
      </c>
      <c r="V38" s="3" t="n">
        <v>1</v>
      </c>
      <c r="W38" s="3" t="n">
        <v>57.5022</v>
      </c>
      <c r="X38" s="3" t="n">
        <v>13.5</v>
      </c>
      <c r="Y38" s="3" t="n">
        <v>1566</v>
      </c>
      <c r="Z38" s="3" t="n">
        <v>0.045</v>
      </c>
      <c r="AA38" s="2" t="n">
        <v>29</v>
      </c>
      <c r="AB38" s="2" t="n">
        <v>16</v>
      </c>
      <c r="AC38" s="3" t="n">
        <v>116</v>
      </c>
    </row>
    <row r="39">
      <c r="A39" s="7" t="inlineStr">
        <is>
          <t>Project</t>
        </is>
      </c>
      <c r="B39" s="7" t="inlineStr">
        <is>
          <t>battleship</t>
        </is>
      </c>
      <c r="C39" s="7" t="inlineStr">
        <is>
          <t>Ship</t>
        </is>
      </c>
      <c r="D39" t="inlineStr">
        <is>
          <t>getTopMostPos()</t>
        </is>
      </c>
      <c r="E39" t="inlineStr">
        <is>
          <t>Ship.getTopMostPos()</t>
        </is>
      </c>
      <c r="F39" s="8" t="n">
        <v>3</v>
      </c>
      <c r="G39" s="8" t="n">
        <v>0</v>
      </c>
      <c r="H39" s="8" t="n">
        <v>19</v>
      </c>
      <c r="I39" s="9">
        <f>IF(MAX($F$2:$F$194)=MIN($F$2:$F$194),0,(F39-MIN($F$2:$F$194))/(MAX($F$2:$F$194)-MIN($F$2:$F$194)))</f>
        <v/>
      </c>
      <c r="J39" s="9">
        <f>IF(MAX($G$2:$G$194)=MIN($G$2:$G$194),0,(G39-MIN($G$2:$G$194))/(MAX($G$2:$G$194)-MIN($G$2:$G$194)))</f>
        <v/>
      </c>
      <c r="K39" s="9">
        <f>IF(MAX($H$2:$H$194)=MIN($H$2:$H$194),0,(H39-MIN($H$2:$H$194))/(MAX($H$2:$H$194)-MIN($H$2:$H$194)))</f>
        <v/>
      </c>
      <c r="L39" s="9">
        <f>I39+J39+K39</f>
        <v/>
      </c>
      <c r="M39" s="2" t="n">
        <v>2</v>
      </c>
      <c r="N39" s="2" t="n">
        <v>1</v>
      </c>
      <c r="O39" s="2" t="n">
        <v>0</v>
      </c>
      <c r="P39" s="2" t="n">
        <v>1</v>
      </c>
      <c r="Q39" s="2" t="n">
        <v>1</v>
      </c>
      <c r="R39" s="2" t="n">
        <v>2</v>
      </c>
      <c r="S39" s="2" t="n">
        <v>2</v>
      </c>
      <c r="T39" s="3" t="n">
        <v>0.5</v>
      </c>
      <c r="U39" s="2" t="n">
        <v>0</v>
      </c>
      <c r="V39" s="3" t="n">
        <v>1</v>
      </c>
      <c r="W39" s="3" t="n">
        <v>57.5819</v>
      </c>
      <c r="X39" s="3" t="n">
        <v>12.375</v>
      </c>
      <c r="Y39" s="3" t="n">
        <v>1402.0854</v>
      </c>
      <c r="Z39" s="3" t="n">
        <v>0.0418</v>
      </c>
      <c r="AA39" s="2" t="n">
        <v>29</v>
      </c>
      <c r="AB39" s="2" t="n">
        <v>15</v>
      </c>
      <c r="AC39" s="3" t="n">
        <v>113.2998</v>
      </c>
    </row>
    <row r="40">
      <c r="A40" s="7" t="inlineStr">
        <is>
          <t>Project</t>
        </is>
      </c>
      <c r="B40" s="7" t="inlineStr">
        <is>
          <t>battleship</t>
        </is>
      </c>
      <c r="C40" s="7" t="inlineStr">
        <is>
          <t>Ship</t>
        </is>
      </c>
      <c r="D40" t="inlineStr">
        <is>
          <t>occupies(IPosition)</t>
        </is>
      </c>
      <c r="E40" t="inlineStr">
        <is>
          <t>Ship.occupies(IPosition)</t>
        </is>
      </c>
      <c r="F40" s="8" t="n">
        <v>3</v>
      </c>
      <c r="G40" s="8" t="n">
        <v>1</v>
      </c>
      <c r="H40" s="8" t="n">
        <v>20</v>
      </c>
      <c r="I40" s="9">
        <f>IF(MAX($F$2:$F$194)=MIN($F$2:$F$194),0,(F40-MIN($F$2:$F$194))/(MAX($F$2:$F$194)-MIN($F$2:$F$194)))</f>
        <v/>
      </c>
      <c r="J40" s="9">
        <f>IF(MAX($G$2:$G$194)=MIN($G$2:$G$194),0,(G40-MIN($G$2:$G$194))/(MAX($G$2:$G$194)-MIN($G$2:$G$194)))</f>
        <v/>
      </c>
      <c r="K40" s="9">
        <f>IF(MAX($H$2:$H$194)=MIN($H$2:$H$194),0,(H40-MIN($H$2:$H$194))/(MAX($H$2:$H$194)-MIN($H$2:$H$194)))</f>
        <v/>
      </c>
      <c r="L40" s="9">
        <f>I40+J40+K40</f>
        <v/>
      </c>
      <c r="M40" s="2" t="n">
        <v>2</v>
      </c>
      <c r="N40" s="2" t="n">
        <v>1</v>
      </c>
      <c r="O40" s="2" t="n">
        <v>0</v>
      </c>
      <c r="P40" s="2" t="n">
        <v>1</v>
      </c>
      <c r="Q40" s="2" t="n">
        <v>1</v>
      </c>
      <c r="R40" s="2" t="n">
        <v>2</v>
      </c>
      <c r="S40" s="2" t="n">
        <v>2</v>
      </c>
      <c r="T40" s="3" t="n">
        <v>0.5</v>
      </c>
      <c r="U40" s="2" t="n">
        <v>0</v>
      </c>
      <c r="V40" s="3" t="n">
        <v>1</v>
      </c>
      <c r="W40" s="3" t="n">
        <v>57.3777</v>
      </c>
      <c r="X40" s="3" t="n">
        <v>10.5</v>
      </c>
      <c r="Y40" s="3" t="n">
        <v>1089.1259</v>
      </c>
      <c r="Z40" s="3" t="n">
        <v>0.0353</v>
      </c>
      <c r="AA40" s="2" t="n">
        <v>24</v>
      </c>
      <c r="AB40" s="2" t="n">
        <v>20</v>
      </c>
      <c r="AC40" s="3" t="n">
        <v>103.7263</v>
      </c>
    </row>
    <row r="41">
      <c r="A41" s="7" t="inlineStr">
        <is>
          <t>Project</t>
        </is>
      </c>
      <c r="B41" s="7" t="inlineStr">
        <is>
          <t>battleship</t>
        </is>
      </c>
      <c r="C41" s="7" t="inlineStr">
        <is>
          <t>Ship</t>
        </is>
      </c>
      <c r="D41" t="inlineStr">
        <is>
          <t>shoot(IPosition)</t>
        </is>
      </c>
      <c r="E41" t="inlineStr">
        <is>
          <t>Ship.shoot(IPosition)</t>
        </is>
      </c>
      <c r="F41" s="8" t="n">
        <v>3</v>
      </c>
      <c r="G41" s="8" t="n">
        <v>1</v>
      </c>
      <c r="H41" s="8" t="n">
        <v>21</v>
      </c>
      <c r="I41" s="9">
        <f>IF(MAX($F$2:$F$194)=MIN($F$2:$F$194),0,(F41-MIN($F$2:$F$194))/(MAX($F$2:$F$194)-MIN($F$2:$F$194)))</f>
        <v/>
      </c>
      <c r="J41" s="9">
        <f>IF(MAX($G$2:$G$194)=MIN($G$2:$G$194),0,(G41-MIN($G$2:$G$194))/(MAX($G$2:$G$194)-MIN($G$2:$G$194)))</f>
        <v/>
      </c>
      <c r="K41" s="9">
        <f>IF(MAX($H$2:$H$194)=MIN($H$2:$H$194),0,(H41-MIN($H$2:$H$194))/(MAX($H$2:$H$194)-MIN($H$2:$H$194)))</f>
        <v/>
      </c>
      <c r="L41" s="9">
        <f>I41+J41+K41</f>
        <v/>
      </c>
      <c r="M41" s="2" t="n">
        <v>2</v>
      </c>
      <c r="N41" s="2" t="n">
        <v>1</v>
      </c>
      <c r="O41" s="2" t="n">
        <v>1</v>
      </c>
      <c r="P41" s="2" t="n">
        <v>1</v>
      </c>
      <c r="Q41" s="2" t="n">
        <v>1</v>
      </c>
      <c r="R41" s="2" t="n">
        <v>2</v>
      </c>
      <c r="S41" s="2" t="n">
        <v>3</v>
      </c>
      <c r="T41" s="3" t="n">
        <v>0.25</v>
      </c>
      <c r="U41" s="2" t="n">
        <v>0</v>
      </c>
      <c r="V41" s="3" t="n">
        <v>1</v>
      </c>
      <c r="W41" s="3" t="n">
        <v>58.459</v>
      </c>
      <c r="X41" s="3" t="n">
        <v>10</v>
      </c>
      <c r="Y41" s="3" t="n">
        <v>629.0748</v>
      </c>
      <c r="Z41" s="3" t="n">
        <v>0.0245</v>
      </c>
      <c r="AA41" s="2" t="n">
        <v>17</v>
      </c>
      <c r="AB41" s="2" t="n">
        <v>13</v>
      </c>
      <c r="AC41" s="3" t="n">
        <v>62.9075</v>
      </c>
    </row>
    <row r="42">
      <c r="A42" s="7" t="inlineStr">
        <is>
          <t>Project</t>
        </is>
      </c>
      <c r="B42" s="7" t="inlineStr">
        <is>
          <t>battleship</t>
        </is>
      </c>
      <c r="C42" s="7" t="inlineStr">
        <is>
          <t>Ship</t>
        </is>
      </c>
      <c r="D42" t="inlineStr">
        <is>
          <t>stillFloating()</t>
        </is>
      </c>
      <c r="E42" t="inlineStr">
        <is>
          <t>Ship.stillFloating()</t>
        </is>
      </c>
      <c r="F42" s="8" t="n">
        <v>3</v>
      </c>
      <c r="G42" s="8" t="n">
        <v>0</v>
      </c>
      <c r="H42" s="8" t="n">
        <v>18</v>
      </c>
      <c r="I42" s="9">
        <f>IF(MAX($F$2:$F$194)=MIN($F$2:$F$194),0,(F42-MIN($F$2:$F$194))/(MAX($F$2:$F$194)-MIN($F$2:$F$194)))</f>
        <v/>
      </c>
      <c r="J42" s="9">
        <f>IF(MAX($G$2:$G$194)=MIN($G$2:$G$194),0,(G42-MIN($G$2:$G$194))/(MAX($G$2:$G$194)-MIN($G$2:$G$194)))</f>
        <v/>
      </c>
      <c r="K42" s="9">
        <f>IF(MAX($H$2:$H$194)=MIN($H$2:$H$194),0,(H42-MIN($H$2:$H$194))/(MAX($H$2:$H$194)-MIN($H$2:$H$194)))</f>
        <v/>
      </c>
      <c r="L42" s="9">
        <f>I42+J42+K42</f>
        <v/>
      </c>
      <c r="M42" s="2" t="n">
        <v>2</v>
      </c>
      <c r="N42" s="2" t="n">
        <v>1</v>
      </c>
      <c r="O42" s="2" t="n">
        <v>0</v>
      </c>
      <c r="P42" s="2" t="n">
        <v>1</v>
      </c>
      <c r="Q42" s="2" t="n">
        <v>1</v>
      </c>
      <c r="R42" s="2" t="n">
        <v>1</v>
      </c>
      <c r="S42" s="2" t="n">
        <v>2</v>
      </c>
      <c r="T42" s="3" t="n">
        <v>0.5</v>
      </c>
      <c r="U42" s="2" t="n">
        <v>0</v>
      </c>
      <c r="V42" s="3" t="n">
        <v>1</v>
      </c>
      <c r="W42" s="3" t="n">
        <v>59.1065</v>
      </c>
      <c r="X42" s="3" t="n">
        <v>9.75</v>
      </c>
      <c r="Y42" s="3" t="n">
        <v>797.0553</v>
      </c>
      <c r="Z42" s="3" t="n">
        <v>0.0287</v>
      </c>
      <c r="AA42" s="2" t="n">
        <v>20</v>
      </c>
      <c r="AB42" s="2" t="n">
        <v>17</v>
      </c>
      <c r="AC42" s="3" t="n">
        <v>81.74930000000001</v>
      </c>
    </row>
    <row r="43">
      <c r="A43" s="7" t="inlineStr">
        <is>
          <t>Project</t>
        </is>
      </c>
      <c r="B43" s="7" t="inlineStr">
        <is>
          <t>battleship</t>
        </is>
      </c>
      <c r="C43" s="7" t="inlineStr">
        <is>
          <t>Ship</t>
        </is>
      </c>
      <c r="D43" t="inlineStr">
        <is>
          <t>tooCloseTo(IPosition)</t>
        </is>
      </c>
      <c r="E43" t="inlineStr">
        <is>
          <t>Ship.tooCloseTo(IPosition)</t>
        </is>
      </c>
      <c r="F43" s="8" t="n">
        <v>3</v>
      </c>
      <c r="G43" s="8" t="n">
        <v>1</v>
      </c>
      <c r="H43" s="8" t="n">
        <v>20</v>
      </c>
      <c r="I43" s="9">
        <f>IF(MAX($F$2:$F$194)=MIN($F$2:$F$194),0,(F43-MIN($F$2:$F$194))/(MAX($F$2:$F$194)-MIN($F$2:$F$194)))</f>
        <v/>
      </c>
      <c r="J43" s="9">
        <f>IF(MAX($G$2:$G$194)=MIN($G$2:$G$194),0,(G43-MIN($G$2:$G$194))/(MAX($G$2:$G$194)-MIN($G$2:$G$194)))</f>
        <v/>
      </c>
      <c r="K43" s="9">
        <f>IF(MAX($H$2:$H$194)=MIN($H$2:$H$194),0,(H43-MIN($H$2:$H$194))/(MAX($H$2:$H$194)-MIN($H$2:$H$194)))</f>
        <v/>
      </c>
      <c r="L43" s="9">
        <f>I43+J43+K43</f>
        <v/>
      </c>
      <c r="M43" s="2" t="n">
        <v>2</v>
      </c>
      <c r="N43" s="2" t="n">
        <v>1</v>
      </c>
      <c r="O43" s="2" t="n">
        <v>0</v>
      </c>
      <c r="P43" s="2" t="n">
        <v>1</v>
      </c>
      <c r="Q43" s="2" t="n">
        <v>1</v>
      </c>
      <c r="R43" s="2" t="n">
        <v>2</v>
      </c>
      <c r="S43" s="2" t="n">
        <v>2</v>
      </c>
      <c r="T43" s="3" t="n">
        <v>0.5</v>
      </c>
      <c r="U43" s="2" t="n">
        <v>0</v>
      </c>
      <c r="V43" s="3" t="n">
        <v>1</v>
      </c>
      <c r="W43" s="3" t="n">
        <v>57.2055</v>
      </c>
      <c r="X43" s="3" t="n">
        <v>11.25</v>
      </c>
      <c r="Y43" s="3" t="n">
        <v>1235.3393</v>
      </c>
      <c r="Z43" s="3" t="n">
        <v>0.0384</v>
      </c>
      <c r="AA43" s="2" t="n">
        <v>25</v>
      </c>
      <c r="AB43" s="2" t="n">
        <v>21</v>
      </c>
      <c r="AC43" s="3" t="n">
        <v>109.8079</v>
      </c>
    </row>
    <row r="44">
      <c r="A44" s="7" t="inlineStr">
        <is>
          <t>Project</t>
        </is>
      </c>
      <c r="B44" s="7" t="inlineStr">
        <is>
          <t>battleship</t>
        </is>
      </c>
      <c r="C44" s="7" t="inlineStr">
        <is>
          <t>Ship</t>
        </is>
      </c>
      <c r="D44" t="inlineStr">
        <is>
          <t>tooCloseTo(IShip)</t>
        </is>
      </c>
      <c r="E44" t="inlineStr">
        <is>
          <t>Ship.tooCloseTo(IShip)</t>
        </is>
      </c>
      <c r="F44" s="8" t="n">
        <v>3</v>
      </c>
      <c r="G44" s="8" t="n">
        <v>1</v>
      </c>
      <c r="H44" s="8" t="n">
        <v>21</v>
      </c>
      <c r="I44" s="9">
        <f>IF(MAX($F$2:$F$194)=MIN($F$2:$F$194),0,(F44-MIN($F$2:$F$194))/(MAX($F$2:$F$194)-MIN($F$2:$F$194)))</f>
        <v/>
      </c>
      <c r="J44" s="9">
        <f>IF(MAX($G$2:$G$194)=MIN($G$2:$G$194),0,(G44-MIN($G$2:$G$194))/(MAX($G$2:$G$194)-MIN($G$2:$G$194)))</f>
        <v/>
      </c>
      <c r="K44" s="9">
        <f>IF(MAX($H$2:$H$194)=MIN($H$2:$H$194),0,(H44-MIN($H$2:$H$194))/(MAX($H$2:$H$194)-MIN($H$2:$H$194)))</f>
        <v/>
      </c>
      <c r="L44" s="9">
        <f>I44+J44+K44</f>
        <v/>
      </c>
      <c r="M44" s="2" t="n">
        <v>3</v>
      </c>
      <c r="N44" s="2" t="n">
        <v>1</v>
      </c>
      <c r="O44" s="2" t="n">
        <v>0</v>
      </c>
      <c r="P44" s="2" t="n">
        <v>1</v>
      </c>
      <c r="Q44" s="2" t="n">
        <v>1</v>
      </c>
      <c r="R44" s="2" t="n">
        <v>2</v>
      </c>
      <c r="S44" s="2" t="n">
        <v>4</v>
      </c>
      <c r="T44" s="3" t="n">
        <v>0.6</v>
      </c>
      <c r="U44" s="2" t="n">
        <v>0</v>
      </c>
      <c r="V44" s="3" t="n">
        <v>0</v>
      </c>
      <c r="W44" s="3" t="n">
        <v>57.6462</v>
      </c>
      <c r="X44" s="3" t="n">
        <v>8.4</v>
      </c>
      <c r="Y44" s="3" t="n">
        <v>686.6938</v>
      </c>
      <c r="Z44" s="3" t="n">
        <v>0.0259</v>
      </c>
      <c r="AA44" s="2" t="n">
        <v>20</v>
      </c>
      <c r="AB44" s="2" t="n">
        <v>17</v>
      </c>
      <c r="AC44" s="3" t="n">
        <v>81.74930000000001</v>
      </c>
    </row>
    <row r="45">
      <c r="A45" s="7" t="inlineStr">
        <is>
          <t>Project</t>
        </is>
      </c>
      <c r="B45" s="7" t="inlineStr">
        <is>
          <t>battleship</t>
        </is>
      </c>
      <c r="C45" s="7" t="inlineStr">
        <is>
          <t>Fleet</t>
        </is>
      </c>
      <c r="D45" t="inlineStr">
        <is>
          <t>printShips(List&lt;IShip&gt;)</t>
        </is>
      </c>
      <c r="E45" t="inlineStr">
        <is>
          <t>Fleet.printShips(List&lt;IShip&gt;)</t>
        </is>
      </c>
      <c r="F45" s="8" t="n">
        <v>2</v>
      </c>
      <c r="G45" s="8" t="n">
        <v>1</v>
      </c>
      <c r="H45" s="8" t="n">
        <v>11</v>
      </c>
      <c r="I45" s="9">
        <f>IF(MAX($F$2:$F$194)=MIN($F$2:$F$194),0,(F45-MIN($F$2:$F$194))/(MAX($F$2:$F$194)-MIN($F$2:$F$194)))</f>
        <v/>
      </c>
      <c r="J45" s="9">
        <f>IF(MAX($G$2:$G$194)=MIN($G$2:$G$194),0,(G45-MIN($G$2:$G$194))/(MAX($G$2:$G$194)-MIN($G$2:$G$194)))</f>
        <v/>
      </c>
      <c r="K45" s="9">
        <f>IF(MAX($H$2:$H$194)=MIN($H$2:$H$194),0,(H45-MIN($H$2:$H$194))/(MAX($H$2:$H$194)-MIN($H$2:$H$194)))</f>
        <v/>
      </c>
      <c r="L45" s="9">
        <f>I45+J45+K45</f>
        <v/>
      </c>
      <c r="M45" s="2" t="n">
        <v>1</v>
      </c>
      <c r="N45" s="2" t="n">
        <v>0</v>
      </c>
      <c r="O45" s="2" t="n">
        <v>0</v>
      </c>
      <c r="P45" s="2" t="n">
        <v>1</v>
      </c>
      <c r="Q45" s="2" t="n">
        <v>1</v>
      </c>
      <c r="R45" s="2" t="n">
        <v>3</v>
      </c>
      <c r="S45" s="2" t="n">
        <v>1</v>
      </c>
      <c r="T45" s="3" t="n">
        <v>1</v>
      </c>
      <c r="U45" s="2" t="n">
        <v>1</v>
      </c>
      <c r="V45" s="3" t="n">
        <v>0</v>
      </c>
      <c r="W45" s="3" t="n">
        <v>66.29259999999999</v>
      </c>
      <c r="X45" s="3" t="n">
        <v>3.75</v>
      </c>
      <c r="Y45" s="3" t="n">
        <v>137.0295</v>
      </c>
      <c r="Z45" s="3" t="n">
        <v>0.0089</v>
      </c>
      <c r="AA45" s="2" t="n">
        <v>11</v>
      </c>
      <c r="AB45" s="2" t="n">
        <v>10</v>
      </c>
      <c r="AC45" s="3" t="n">
        <v>36.5412</v>
      </c>
    </row>
    <row r="46">
      <c r="A46" s="7" t="inlineStr">
        <is>
          <t>Project</t>
        </is>
      </c>
      <c r="B46" s="7" t="inlineStr">
        <is>
          <t>battleship</t>
        </is>
      </c>
      <c r="C46" s="7" t="inlineStr">
        <is>
          <t>Galleon</t>
        </is>
      </c>
      <c r="D46" t="inlineStr">
        <is>
          <t>fillEast(IPosition)</t>
        </is>
      </c>
      <c r="E46" t="inlineStr">
        <is>
          <t>Galleon.fillEast(IPosition)</t>
        </is>
      </c>
      <c r="F46" s="8" t="n">
        <v>2</v>
      </c>
      <c r="G46" s="8" t="n">
        <v>1</v>
      </c>
      <c r="H46" s="8" t="n">
        <v>12</v>
      </c>
      <c r="I46" s="9">
        <f>IF(MAX($F$2:$F$194)=MIN($F$2:$F$194),0,(F46-MIN($F$2:$F$194))/(MAX($F$2:$F$194)-MIN($F$2:$F$194)))</f>
        <v/>
      </c>
      <c r="J46" s="9">
        <f>IF(MAX($G$2:$G$194)=MIN($G$2:$G$194),0,(G46-MIN($G$2:$G$194))/(MAX($G$2:$G$194)-MIN($G$2:$G$194)))</f>
        <v/>
      </c>
      <c r="K46" s="9">
        <f>IF(MAX($H$2:$H$194)=MIN($H$2:$H$194),0,(H46-MIN($H$2:$H$194))/(MAX($H$2:$H$194)-MIN($H$2:$H$194)))</f>
        <v/>
      </c>
      <c r="L46" s="9">
        <f>I46+J46+K46</f>
        <v/>
      </c>
      <c r="M46" s="2" t="n">
        <v>1</v>
      </c>
      <c r="N46" s="2" t="n">
        <v>0</v>
      </c>
      <c r="O46" s="2" t="n">
        <v>1</v>
      </c>
      <c r="P46" s="2" t="n">
        <v>1</v>
      </c>
      <c r="Q46" s="2" t="n">
        <v>1</v>
      </c>
      <c r="R46" s="2" t="n">
        <v>2</v>
      </c>
      <c r="S46" s="2" t="n">
        <v>4</v>
      </c>
      <c r="T46" s="3" t="n">
        <v>0.75</v>
      </c>
      <c r="U46" s="2" t="n">
        <v>0</v>
      </c>
      <c r="V46" s="3" t="n">
        <v>0</v>
      </c>
      <c r="W46" s="3" t="n">
        <v>60.8387</v>
      </c>
      <c r="X46" s="3" t="n">
        <v>15.1667</v>
      </c>
      <c r="Y46" s="3" t="n">
        <v>2512.6491</v>
      </c>
      <c r="Z46" s="3" t="n">
        <v>0.0616</v>
      </c>
      <c r="AA46" s="2" t="n">
        <v>39</v>
      </c>
      <c r="AB46" s="2" t="n">
        <v>19</v>
      </c>
      <c r="AC46" s="3" t="n">
        <v>165.6692</v>
      </c>
    </row>
    <row r="47">
      <c r="A47" s="7" t="inlineStr">
        <is>
          <t>Project</t>
        </is>
      </c>
      <c r="B47" s="7" t="inlineStr">
        <is>
          <t>battleship</t>
        </is>
      </c>
      <c r="C47" s="7" t="inlineStr">
        <is>
          <t>Galleon</t>
        </is>
      </c>
      <c r="D47" t="inlineStr">
        <is>
          <t>fillNorth(IPosition)</t>
        </is>
      </c>
      <c r="E47" t="inlineStr">
        <is>
          <t>Galleon.fillNorth(IPosition)</t>
        </is>
      </c>
      <c r="F47" s="8" t="n">
        <v>2</v>
      </c>
      <c r="G47" s="8" t="n">
        <v>1</v>
      </c>
      <c r="H47" s="8" t="n">
        <v>12</v>
      </c>
      <c r="I47" s="9">
        <f>IF(MAX($F$2:$F$194)=MIN($F$2:$F$194),0,(F47-MIN($F$2:$F$194))/(MAX($F$2:$F$194)-MIN($F$2:$F$194)))</f>
        <v/>
      </c>
      <c r="J47" s="9">
        <f>IF(MAX($G$2:$G$194)=MIN($G$2:$G$194),0,(G47-MIN($G$2:$G$194))/(MAX($G$2:$G$194)-MIN($G$2:$G$194)))</f>
        <v/>
      </c>
      <c r="K47" s="9">
        <f>IF(MAX($H$2:$H$194)=MIN($H$2:$H$194),0,(H47-MIN($H$2:$H$194))/(MAX($H$2:$H$194)-MIN($H$2:$H$194)))</f>
        <v/>
      </c>
      <c r="L47" s="9">
        <f>I47+J47+K47</f>
        <v/>
      </c>
      <c r="M47" s="2" t="n">
        <v>1</v>
      </c>
      <c r="N47" s="2" t="n">
        <v>0</v>
      </c>
      <c r="O47" s="2" t="n">
        <v>1</v>
      </c>
      <c r="P47" s="2" t="n">
        <v>1</v>
      </c>
      <c r="Q47" s="2" t="n">
        <v>1</v>
      </c>
      <c r="R47" s="2" t="n">
        <v>2</v>
      </c>
      <c r="S47" s="2" t="n">
        <v>4</v>
      </c>
      <c r="T47" s="3" t="n">
        <v>0.75</v>
      </c>
      <c r="U47" s="2" t="n">
        <v>0</v>
      </c>
      <c r="V47" s="3" t="n">
        <v>0</v>
      </c>
      <c r="W47" s="3" t="n">
        <v>60.7479</v>
      </c>
      <c r="X47" s="3" t="n">
        <v>15</v>
      </c>
      <c r="Y47" s="3" t="n">
        <v>2564.5039</v>
      </c>
      <c r="Z47" s="3" t="n">
        <v>0.0625</v>
      </c>
      <c r="AA47" s="2" t="n">
        <v>41</v>
      </c>
      <c r="AB47" s="2" t="n">
        <v>18</v>
      </c>
      <c r="AC47" s="3" t="n">
        <v>170.9669</v>
      </c>
    </row>
    <row r="48">
      <c r="A48" s="7" t="inlineStr">
        <is>
          <t>Project</t>
        </is>
      </c>
      <c r="B48" s="7" t="inlineStr">
        <is>
          <t>battleship</t>
        </is>
      </c>
      <c r="C48" s="7" t="inlineStr">
        <is>
          <t>Galleon</t>
        </is>
      </c>
      <c r="D48" t="inlineStr">
        <is>
          <t>fillWest(IPosition)</t>
        </is>
      </c>
      <c r="E48" t="inlineStr">
        <is>
          <t>Galleon.fillWest(IPosition)</t>
        </is>
      </c>
      <c r="F48" s="8" t="n">
        <v>2</v>
      </c>
      <c r="G48" s="8" t="n">
        <v>1</v>
      </c>
      <c r="H48" s="8" t="n">
        <v>12</v>
      </c>
      <c r="I48" s="9">
        <f>IF(MAX($F$2:$F$194)=MIN($F$2:$F$194),0,(F48-MIN($F$2:$F$194))/(MAX($F$2:$F$194)-MIN($F$2:$F$194)))</f>
        <v/>
      </c>
      <c r="J48" s="9">
        <f>IF(MAX($G$2:$G$194)=MIN($G$2:$G$194),0,(G48-MIN($G$2:$G$194))/(MAX($G$2:$G$194)-MIN($G$2:$G$194)))</f>
        <v/>
      </c>
      <c r="K48" s="9">
        <f>IF(MAX($H$2:$H$194)=MIN($H$2:$H$194),0,(H48-MIN($H$2:$H$194))/(MAX($H$2:$H$194)-MIN($H$2:$H$194)))</f>
        <v/>
      </c>
      <c r="L48" s="9">
        <f>I48+J48+K48</f>
        <v/>
      </c>
      <c r="M48" s="2" t="n">
        <v>1</v>
      </c>
      <c r="N48" s="2" t="n">
        <v>0</v>
      </c>
      <c r="O48" s="2" t="n">
        <v>1</v>
      </c>
      <c r="P48" s="2" t="n">
        <v>1</v>
      </c>
      <c r="Q48" s="2" t="n">
        <v>1</v>
      </c>
      <c r="R48" s="2" t="n">
        <v>2</v>
      </c>
      <c r="S48" s="2" t="n">
        <v>4</v>
      </c>
      <c r="T48" s="3" t="n">
        <v>0.75</v>
      </c>
      <c r="U48" s="2" t="n">
        <v>0</v>
      </c>
      <c r="V48" s="3" t="n">
        <v>0</v>
      </c>
      <c r="W48" s="3" t="n">
        <v>60.8945</v>
      </c>
      <c r="X48" s="3" t="n">
        <v>18.2</v>
      </c>
      <c r="Y48" s="3" t="n">
        <v>2959.8128</v>
      </c>
      <c r="Z48" s="3" t="n">
        <v>0.0687</v>
      </c>
      <c r="AA48" s="2" t="n">
        <v>39</v>
      </c>
      <c r="AB48" s="2" t="n">
        <v>18</v>
      </c>
      <c r="AC48" s="3" t="n">
        <v>162.6271</v>
      </c>
    </row>
    <row r="49">
      <c r="A49" s="7" t="inlineStr">
        <is>
          <t>Project</t>
        </is>
      </c>
      <c r="B49" s="7" t="inlineStr">
        <is>
          <t>battleship</t>
        </is>
      </c>
      <c r="C49" s="7" t="inlineStr">
        <is>
          <t>Game</t>
        </is>
      </c>
      <c r="D49" t="inlineStr">
        <is>
          <t>over()</t>
        </is>
      </c>
      <c r="E49" t="inlineStr">
        <is>
          <t>Game.over()</t>
        </is>
      </c>
      <c r="F49" s="8" t="n">
        <v>2</v>
      </c>
      <c r="G49" s="8" t="n">
        <v>0</v>
      </c>
      <c r="H49" s="8" t="n">
        <v>12</v>
      </c>
      <c r="I49" s="9">
        <f>IF(MAX($F$2:$F$194)=MIN($F$2:$F$194),0,(F49-MIN($F$2:$F$194))/(MAX($F$2:$F$194)-MIN($F$2:$F$194)))</f>
        <v/>
      </c>
      <c r="J49" s="9">
        <f>IF(MAX($G$2:$G$194)=MIN($G$2:$G$194),0,(G49-MIN($G$2:$G$194))/(MAX($G$2:$G$194)-MIN($G$2:$G$194)))</f>
        <v/>
      </c>
      <c r="K49" s="9">
        <f>IF(MAX($H$2:$H$194)=MIN($H$2:$H$194),0,(H49-MIN($H$2:$H$194))/(MAX($H$2:$H$194)-MIN($H$2:$H$194)))</f>
        <v/>
      </c>
      <c r="L49" s="9">
        <f>I49+J49+K49</f>
        <v/>
      </c>
      <c r="M49" s="2" t="n">
        <v>1</v>
      </c>
      <c r="N49" s="2" t="n">
        <v>0</v>
      </c>
      <c r="O49" s="2" t="n">
        <v>1</v>
      </c>
      <c r="P49" s="2" t="n">
        <v>0</v>
      </c>
      <c r="Q49" s="2" t="n">
        <v>0</v>
      </c>
      <c r="R49" s="2" t="n">
        <v>5</v>
      </c>
      <c r="S49" s="2" t="n">
        <v>4</v>
      </c>
      <c r="T49" s="3" t="n">
        <v>0.6</v>
      </c>
      <c r="U49" s="2" t="n">
        <v>2</v>
      </c>
      <c r="V49" s="3" t="n">
        <v>0.25</v>
      </c>
      <c r="W49" s="3" t="n">
        <v>61.5872</v>
      </c>
      <c r="X49" s="3" t="n">
        <v>7.5</v>
      </c>
      <c r="Y49" s="3" t="n">
        <v>972.4338</v>
      </c>
      <c r="Z49" s="3" t="n">
        <v>0.0327</v>
      </c>
      <c r="AA49" s="2" t="n">
        <v>30</v>
      </c>
      <c r="AB49" s="2" t="n">
        <v>20</v>
      </c>
      <c r="AC49" s="3" t="n">
        <v>129.6578</v>
      </c>
    </row>
    <row r="50">
      <c r="A50" s="7" t="inlineStr">
        <is>
          <t>Project</t>
        </is>
      </c>
      <c r="B50" s="7" t="inlineStr">
        <is>
          <t>battleship</t>
        </is>
      </c>
      <c r="C50" s="7" t="inlineStr">
        <is>
          <t>IMove</t>
        </is>
      </c>
      <c r="D50" t="inlineStr">
        <is>
          <t>readMove(int, Scanner)</t>
        </is>
      </c>
      <c r="E50" t="inlineStr">
        <is>
          <t>IMove.readMove(int, Scanner)</t>
        </is>
      </c>
      <c r="F50" s="8" t="n">
        <v>2</v>
      </c>
      <c r="G50" s="8" t="n">
        <v>2</v>
      </c>
      <c r="H50" s="8" t="n">
        <v>10</v>
      </c>
      <c r="I50" s="9">
        <f>IF(MAX($F$2:$F$194)=MIN($F$2:$F$194),0,(F50-MIN($F$2:$F$194))/(MAX($F$2:$F$194)-MIN($F$2:$F$194)))</f>
        <v/>
      </c>
      <c r="J50" s="9">
        <f>IF(MAX($G$2:$G$194)=MIN($G$2:$G$194),0,(G50-MIN($G$2:$G$194))/(MAX($G$2:$G$194)-MIN($G$2:$G$194)))</f>
        <v/>
      </c>
      <c r="K50" s="9">
        <f>IF(MAX($H$2:$H$194)=MIN($H$2:$H$194),0,(H50-MIN($H$2:$H$194))/(MAX($H$2:$H$194)-MIN($H$2:$H$194)))</f>
        <v/>
      </c>
      <c r="L50" s="9">
        <f>I50+J50+K50</f>
        <v/>
      </c>
      <c r="M50" s="2" t="n">
        <v>1</v>
      </c>
      <c r="N50" s="2" t="n">
        <v>0</v>
      </c>
      <c r="O50" s="2" t="n">
        <v>1</v>
      </c>
      <c r="P50" s="2" t="n">
        <v>1</v>
      </c>
      <c r="Q50" s="2" t="n">
        <v>1</v>
      </c>
      <c r="R50" s="2" t="n">
        <v>7</v>
      </c>
      <c r="S50" s="2" t="n">
        <v>2</v>
      </c>
      <c r="T50" s="3" t="n">
        <v>1</v>
      </c>
      <c r="U50" s="2" t="n">
        <v>0</v>
      </c>
      <c r="V50" s="3" t="n">
        <v>0</v>
      </c>
      <c r="W50" s="3" t="n">
        <v>63.4841</v>
      </c>
      <c r="X50" s="3" t="n">
        <v>6.75</v>
      </c>
      <c r="Y50" s="3" t="n">
        <v>827.7112</v>
      </c>
      <c r="Z50" s="3" t="n">
        <v>0.0294</v>
      </c>
      <c r="AA50" s="2" t="n">
        <v>30</v>
      </c>
      <c r="AB50" s="2" t="n">
        <v>17</v>
      </c>
      <c r="AC50" s="3" t="n">
        <v>122.6239</v>
      </c>
    </row>
    <row r="51">
      <c r="A51" s="7" t="inlineStr">
        <is>
          <t>Project</t>
        </is>
      </c>
      <c r="B51" s="7" t="inlineStr">
        <is>
          <t>battleship</t>
        </is>
      </c>
      <c r="C51" s="7" t="inlineStr">
        <is>
          <t>Position</t>
        </is>
      </c>
      <c r="D51" t="inlineStr">
        <is>
          <t>isAdjacentTo(IPosition)</t>
        </is>
      </c>
      <c r="E51" t="inlineStr">
        <is>
          <t>Position.isAdjacentTo(IPosition)</t>
        </is>
      </c>
      <c r="F51" s="8" t="n">
        <v>2</v>
      </c>
      <c r="G51" s="8" t="n">
        <v>1</v>
      </c>
      <c r="H51" s="8" t="n">
        <v>11</v>
      </c>
      <c r="I51" s="9">
        <f>IF(MAX($F$2:$F$194)=MIN($F$2:$F$194),0,(F51-MIN($F$2:$F$194))/(MAX($F$2:$F$194)-MIN($F$2:$F$194)))</f>
        <v/>
      </c>
      <c r="J51" s="9">
        <f>IF(MAX($G$2:$G$194)=MIN($G$2:$G$194),0,(G51-MIN($G$2:$G$194))/(MAX($G$2:$G$194)-MIN($G$2:$G$194)))</f>
        <v/>
      </c>
      <c r="K51" s="9">
        <f>IF(MAX($H$2:$H$194)=MIN($H$2:$H$194),0,(H51-MIN($H$2:$H$194))/(MAX($H$2:$H$194)-MIN($H$2:$H$194)))</f>
        <v/>
      </c>
      <c r="L51" s="9">
        <f>I51+J51+K51</f>
        <v/>
      </c>
      <c r="M51" s="2" t="n">
        <v>1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3</v>
      </c>
      <c r="S51" s="2" t="n">
        <v>3</v>
      </c>
      <c r="T51" s="3" t="n">
        <v>0.6667</v>
      </c>
      <c r="U51" s="2" t="n">
        <v>0</v>
      </c>
      <c r="V51" s="3" t="n">
        <v>1</v>
      </c>
      <c r="W51" s="3" t="n">
        <v>64.0204</v>
      </c>
      <c r="X51" s="3" t="n">
        <v>7.5</v>
      </c>
      <c r="Y51" s="3" t="n">
        <v>571.1032</v>
      </c>
      <c r="Z51" s="3" t="n">
        <v>0.0229</v>
      </c>
      <c r="AA51" s="2" t="n">
        <v>20</v>
      </c>
      <c r="AB51" s="2" t="n">
        <v>14</v>
      </c>
      <c r="AC51" s="3" t="n">
        <v>76.14709999999999</v>
      </c>
    </row>
    <row r="52">
      <c r="A52" s="7" t="inlineStr">
        <is>
          <t>Project</t>
        </is>
      </c>
      <c r="B52" s="7" t="inlineStr">
        <is>
          <t>battleship</t>
        </is>
      </c>
      <c r="C52" s="7" t="inlineStr">
        <is>
          <t>Ship</t>
        </is>
      </c>
      <c r="D52" t="inlineStr">
        <is>
          <t>sink()</t>
        </is>
      </c>
      <c r="E52" t="inlineStr">
        <is>
          <t>Ship.sink()</t>
        </is>
      </c>
      <c r="F52" s="8" t="n">
        <v>2</v>
      </c>
      <c r="G52" s="8" t="n">
        <v>0</v>
      </c>
      <c r="H52" s="8" t="n">
        <v>13</v>
      </c>
      <c r="I52" s="9">
        <f>IF(MAX($F$2:$F$194)=MIN($F$2:$F$194),0,(F52-MIN($F$2:$F$194))/(MAX($F$2:$F$194)-MIN($F$2:$F$194)))</f>
        <v/>
      </c>
      <c r="J52" s="9">
        <f>IF(MAX($G$2:$G$194)=MIN($G$2:$G$194),0,(G52-MIN($G$2:$G$194))/(MAX($G$2:$G$194)-MIN($G$2:$G$194)))</f>
        <v/>
      </c>
      <c r="K52" s="9">
        <f>IF(MAX($H$2:$H$194)=MIN($H$2:$H$194),0,(H52-MIN($H$2:$H$194))/(MAX($H$2:$H$194)-MIN($H$2:$H$194)))</f>
        <v/>
      </c>
      <c r="L52" s="9">
        <f>I52+J52+K52</f>
        <v/>
      </c>
      <c r="M52" s="2" t="n">
        <v>1</v>
      </c>
      <c r="N52" s="2" t="n">
        <v>0</v>
      </c>
      <c r="O52" s="2" t="n">
        <v>0</v>
      </c>
      <c r="P52" s="2" t="n">
        <v>1</v>
      </c>
      <c r="Q52" s="2" t="n">
        <v>1</v>
      </c>
      <c r="R52" s="2" t="n">
        <v>1</v>
      </c>
      <c r="S52" s="2" t="n">
        <v>1</v>
      </c>
      <c r="T52" s="3" t="n">
        <v>0.5</v>
      </c>
      <c r="U52" s="2" t="n">
        <v>0</v>
      </c>
      <c r="V52" s="3" t="n">
        <v>1</v>
      </c>
      <c r="W52" s="3" t="n">
        <v>67.37220000000001</v>
      </c>
      <c r="X52" s="3" t="n">
        <v>2.5</v>
      </c>
      <c r="Y52" s="3" t="n">
        <v>38.7744</v>
      </c>
      <c r="Z52" s="3" t="n">
        <v>0.0038</v>
      </c>
      <c r="AA52" s="2" t="n">
        <v>6</v>
      </c>
      <c r="AB52" s="2" t="n">
        <v>6</v>
      </c>
      <c r="AC52" s="3" t="n">
        <v>15.5098</v>
      </c>
    </row>
    <row r="53">
      <c r="A53" s="7" t="inlineStr">
        <is>
          <t>Project</t>
        </is>
      </c>
      <c r="B53" s="7" t="inlineStr">
        <is>
          <t>battleship</t>
        </is>
      </c>
      <c r="C53" s="7" t="inlineStr">
        <is>
          <t>Barge</t>
        </is>
      </c>
      <c r="D53" t="inlineStr">
        <is>
          <t>Barge(Compass, IPosition)</t>
        </is>
      </c>
      <c r="E53" t="inlineStr">
        <is>
          <t>Barge.Barge(Compass, IPosition)</t>
        </is>
      </c>
      <c r="F53" s="8" t="n">
        <v>1</v>
      </c>
      <c r="G53" s="8" t="n">
        <v>2</v>
      </c>
      <c r="H53" s="8" t="n">
        <v>11</v>
      </c>
      <c r="I53" s="9">
        <f>IF(MAX($F$2:$F$194)=MIN($F$2:$F$194),0,(F53-MIN($F$2:$F$194))/(MAX($F$2:$F$194)-MIN($F$2:$F$194)))</f>
        <v/>
      </c>
      <c r="J53" s="9">
        <f>IF(MAX($G$2:$G$194)=MIN($G$2:$G$194),0,(G53-MIN($G$2:$G$194))/(MAX($G$2:$G$194)-MIN($G$2:$G$194)))</f>
        <v/>
      </c>
      <c r="K53" s="9">
        <f>IF(MAX($H$2:$H$194)=MIN($H$2:$H$194),0,(H53-MIN($H$2:$H$194))/(MAX($H$2:$H$194)-MIN($H$2:$H$194)))</f>
        <v/>
      </c>
      <c r="L53" s="9">
        <f>I53+J53+K53</f>
        <v/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2</v>
      </c>
      <c r="S53" s="2" t="n">
        <v>5</v>
      </c>
      <c r="T53" s="3" t="n">
        <v>0.6</v>
      </c>
      <c r="U53" s="2" t="n">
        <v>0</v>
      </c>
      <c r="V53" s="3" t="n">
        <v>0</v>
      </c>
      <c r="W53" s="3" t="n">
        <v>65.3869</v>
      </c>
      <c r="X53" s="3" t="n">
        <v>6</v>
      </c>
      <c r="Y53" s="3" t="n">
        <v>301.1369</v>
      </c>
      <c r="Z53" s="3" t="n">
        <v>0.015</v>
      </c>
      <c r="AA53" s="2" t="n">
        <v>14</v>
      </c>
      <c r="AB53" s="2" t="n">
        <v>12</v>
      </c>
      <c r="AC53" s="3" t="n">
        <v>50.1895</v>
      </c>
    </row>
    <row r="54">
      <c r="A54" s="7" t="inlineStr">
        <is>
          <t>Project</t>
        </is>
      </c>
      <c r="B54" s="7" t="inlineStr">
        <is>
          <t>battleship</t>
        </is>
      </c>
      <c r="C54" s="7" t="inlineStr">
        <is>
          <t>Compass</t>
        </is>
      </c>
      <c r="D54" t="inlineStr">
        <is>
          <t>Compass(char)</t>
        </is>
      </c>
      <c r="E54" t="inlineStr">
        <is>
          <t>Compass.Compass(char)</t>
        </is>
      </c>
      <c r="F54" s="8" t="n">
        <v>1</v>
      </c>
      <c r="G54" s="8" t="n">
        <v>1</v>
      </c>
      <c r="H54" s="8" t="n">
        <v>9</v>
      </c>
      <c r="I54" s="9">
        <f>IF(MAX($F$2:$F$194)=MIN($F$2:$F$194),0,(F54-MIN($F$2:$F$194))/(MAX($F$2:$F$194)-MIN($F$2:$F$194)))</f>
        <v/>
      </c>
      <c r="J54" s="9">
        <f>IF(MAX($G$2:$G$194)=MIN($G$2:$G$194),0,(G54-MIN($G$2:$G$194))/(MAX($G$2:$G$194)-MIN($G$2:$G$194)))</f>
        <v/>
      </c>
      <c r="K54" s="9">
        <f>IF(MAX($H$2:$H$194)=MIN($H$2:$H$194),0,(H54-MIN($H$2:$H$194))/(MAX($H$2:$H$194)-MIN($H$2:$H$194)))</f>
        <v/>
      </c>
      <c r="L54" s="9">
        <f>I54+J54+K54</f>
        <v/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2</v>
      </c>
      <c r="S54" s="2" t="n">
        <v>0</v>
      </c>
      <c r="T54" s="3" t="n">
        <v>0</v>
      </c>
      <c r="U54" s="2" t="n">
        <v>0</v>
      </c>
      <c r="V54" s="3" t="n">
        <v>1</v>
      </c>
      <c r="W54" s="3" t="n">
        <v>72.86069999999999</v>
      </c>
      <c r="X54" s="3" t="n">
        <v>1</v>
      </c>
      <c r="Y54" s="3" t="n">
        <v>8</v>
      </c>
      <c r="Z54" s="3" t="n">
        <v>0.0013</v>
      </c>
      <c r="AA54" s="2" t="n">
        <v>4</v>
      </c>
      <c r="AB54" s="2" t="n">
        <v>4</v>
      </c>
      <c r="AC54" s="3" t="n">
        <v>8</v>
      </c>
    </row>
    <row r="55">
      <c r="A55" s="7" t="inlineStr">
        <is>
          <t>Project</t>
        </is>
      </c>
      <c r="B55" s="7" t="inlineStr">
        <is>
          <t>battleship</t>
        </is>
      </c>
      <c r="C55" s="7" t="inlineStr">
        <is>
          <t>Compass</t>
        </is>
      </c>
      <c r="D55" t="inlineStr">
        <is>
          <t>getDirection()</t>
        </is>
      </c>
      <c r="E55" t="inlineStr">
        <is>
          <t>Compass.getDirection()</t>
        </is>
      </c>
      <c r="F55" s="8" t="n">
        <v>1</v>
      </c>
      <c r="G55" s="8" t="n">
        <v>0</v>
      </c>
      <c r="H55" s="8" t="n">
        <v>9</v>
      </c>
      <c r="I55" s="9">
        <f>IF(MAX($F$2:$F$194)=MIN($F$2:$F$194),0,(F55-MIN($F$2:$F$194))/(MAX($F$2:$F$194)-MIN($F$2:$F$194)))</f>
        <v/>
      </c>
      <c r="J55" s="9">
        <f>IF(MAX($G$2:$G$194)=MIN($G$2:$G$194),0,(G55-MIN($G$2:$G$194))/(MAX($G$2:$G$194)-MIN($G$2:$G$194)))</f>
        <v/>
      </c>
      <c r="K55" s="9">
        <f>IF(MAX($H$2:$H$194)=MIN($H$2:$H$194),0,(H55-MIN($H$2:$H$194))/(MAX($H$2:$H$194)-MIN($H$2:$H$194)))</f>
        <v/>
      </c>
      <c r="L55" s="9">
        <f>I55+J55+K55</f>
        <v/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1</v>
      </c>
      <c r="S55" s="2" t="n">
        <v>0</v>
      </c>
      <c r="T55" s="3" t="n">
        <v>0</v>
      </c>
      <c r="U55" s="2" t="n">
        <v>0</v>
      </c>
      <c r="V55" s="3" t="n">
        <v>1</v>
      </c>
      <c r="W55" s="3" t="n">
        <v>72.86069999999999</v>
      </c>
      <c r="X55" s="3" t="n">
        <v>1.5</v>
      </c>
      <c r="Y55" s="3" t="n">
        <v>12</v>
      </c>
      <c r="Z55" s="3" t="n">
        <v>0.0017</v>
      </c>
      <c r="AA55" s="2" t="n">
        <v>4</v>
      </c>
      <c r="AB55" s="2" t="n">
        <v>4</v>
      </c>
      <c r="AC55" s="3" t="n">
        <v>8</v>
      </c>
    </row>
    <row r="56">
      <c r="A56" s="7" t="inlineStr">
        <is>
          <t>Project</t>
        </is>
      </c>
      <c r="B56" s="7" t="inlineStr">
        <is>
          <t>battleship</t>
        </is>
      </c>
      <c r="C56" s="7" t="inlineStr">
        <is>
          <t>Compass</t>
        </is>
      </c>
      <c r="D56" t="inlineStr">
        <is>
          <t>randomBearing()</t>
        </is>
      </c>
      <c r="E56" t="inlineStr">
        <is>
          <t>Compass.randomBearing()</t>
        </is>
      </c>
      <c r="F56" s="8" t="n">
        <v>1</v>
      </c>
      <c r="G56" s="8" t="n">
        <v>0</v>
      </c>
      <c r="H56" s="8" t="n">
        <v>10</v>
      </c>
      <c r="I56" s="9">
        <f>IF(MAX($F$2:$F$194)=MIN($F$2:$F$194),0,(F56-MIN($F$2:$F$194))/(MAX($F$2:$F$194)-MIN($F$2:$F$194)))</f>
        <v/>
      </c>
      <c r="J56" s="9">
        <f>IF(MAX($G$2:$G$194)=MIN($G$2:$G$194),0,(G56-MIN($G$2:$G$194))/(MAX($G$2:$G$194)-MIN($G$2:$G$194)))</f>
        <v/>
      </c>
      <c r="K56" s="9">
        <f>IF(MAX($H$2:$H$194)=MIN($H$2:$H$194),0,(H56-MIN($H$2:$H$194))/(MAX($H$2:$H$194)-MIN($H$2:$H$194)))</f>
        <v/>
      </c>
      <c r="L56" s="9">
        <f>I56+J56+K56</f>
        <v/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3</v>
      </c>
      <c r="S56" s="2" t="n">
        <v>1</v>
      </c>
      <c r="T56" s="3" t="n">
        <v>0.5</v>
      </c>
      <c r="U56" s="2" t="n">
        <v>1</v>
      </c>
      <c r="V56" s="3" t="n">
        <v>0</v>
      </c>
      <c r="W56" s="3" t="n">
        <v>67.0454</v>
      </c>
      <c r="X56" s="3" t="n">
        <v>4.6667</v>
      </c>
      <c r="Y56" s="3" t="n">
        <v>186.028</v>
      </c>
      <c r="Z56" s="3" t="n">
        <v>0.0109</v>
      </c>
      <c r="AA56" s="2" t="n">
        <v>12</v>
      </c>
      <c r="AB56" s="2" t="n">
        <v>10</v>
      </c>
      <c r="AC56" s="3" t="n">
        <v>39.8631</v>
      </c>
    </row>
    <row r="57">
      <c r="A57" s="7" t="inlineStr">
        <is>
          <t>Project</t>
        </is>
      </c>
      <c r="B57" s="7" t="inlineStr">
        <is>
          <t>battleship</t>
        </is>
      </c>
      <c r="C57" s="7" t="inlineStr">
        <is>
          <t>Compass</t>
        </is>
      </c>
      <c r="D57" t="inlineStr">
        <is>
          <t>toString()</t>
        </is>
      </c>
      <c r="E57" t="inlineStr">
        <is>
          <t>Compass.toString()</t>
        </is>
      </c>
      <c r="F57" s="8" t="n">
        <v>1</v>
      </c>
      <c r="G57" s="8" t="n">
        <v>0</v>
      </c>
      <c r="H57" s="8" t="n">
        <v>10</v>
      </c>
      <c r="I57" s="9">
        <f>IF(MAX($F$2:$F$194)=MIN($F$2:$F$194),0,(F57-MIN($F$2:$F$194))/(MAX($F$2:$F$194)-MIN($F$2:$F$194)))</f>
        <v/>
      </c>
      <c r="J57" s="9">
        <f>IF(MAX($G$2:$G$194)=MIN($G$2:$G$194),0,(G57-MIN($G$2:$G$194))/(MAX($G$2:$G$194)-MIN($G$2:$G$194)))</f>
        <v/>
      </c>
      <c r="K57" s="9">
        <f>IF(MAX($H$2:$H$194)=MIN($H$2:$H$194),0,(H57-MIN($H$2:$H$194))/(MAX($H$2:$H$194)-MIN($H$2:$H$194)))</f>
        <v/>
      </c>
      <c r="L57" s="9">
        <f>I57+J57+K57</f>
        <v/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1</v>
      </c>
      <c r="S57" s="2" t="n">
        <v>0</v>
      </c>
      <c r="T57" s="3" t="n">
        <v>0</v>
      </c>
      <c r="U57" s="2" t="n">
        <v>0</v>
      </c>
      <c r="V57" s="3" t="n">
        <v>1</v>
      </c>
      <c r="W57" s="3" t="n">
        <v>70.8942</v>
      </c>
      <c r="X57" s="3" t="n">
        <v>1.5</v>
      </c>
      <c r="Y57" s="3" t="n">
        <v>17.4145</v>
      </c>
      <c r="Z57" s="3" t="n">
        <v>0.0022</v>
      </c>
      <c r="AA57" s="2" t="n">
        <v>5</v>
      </c>
      <c r="AB57" s="2" t="n">
        <v>5</v>
      </c>
      <c r="AC57" s="3" t="n">
        <v>11.6096</v>
      </c>
    </row>
    <row r="58">
      <c r="A58" s="7" t="inlineStr">
        <is>
          <t>Project</t>
        </is>
      </c>
      <c r="B58" s="7" t="inlineStr">
        <is>
          <t>battleship</t>
        </is>
      </c>
      <c r="C58" s="7" t="inlineStr">
        <is>
          <t>Compass</t>
        </is>
      </c>
      <c r="D58" t="inlineStr">
        <is>
          <t>valueOf(String)</t>
        </is>
      </c>
      <c r="E58" t="inlineStr">
        <is>
          <t>Compass.valueOf(String)</t>
        </is>
      </c>
      <c r="F58" s="8" t="n">
        <v>1</v>
      </c>
      <c r="G58" s="8" t="n">
        <v>1</v>
      </c>
      <c r="H58" s="8" t="n">
        <v>0</v>
      </c>
      <c r="I58" s="9">
        <f>IF(MAX($F$2:$F$194)=MIN($F$2:$F$194),0,(F58-MIN($F$2:$F$194))/(MAX($F$2:$F$194)-MIN($F$2:$F$194)))</f>
        <v/>
      </c>
      <c r="J58" s="9">
        <f>IF(MAX($G$2:$G$194)=MIN($G$2:$G$194),0,(G58-MIN($G$2:$G$194))/(MAX($G$2:$G$194)-MIN($G$2:$G$194)))</f>
        <v/>
      </c>
      <c r="K58" s="9">
        <f>IF(MAX($H$2:$H$194)=MIN($H$2:$H$194),0,(H58-MIN($H$2:$H$194))/(MAX($H$2:$H$194)-MIN($H$2:$H$194)))</f>
        <v/>
      </c>
      <c r="L58" s="9">
        <f>I58+J58+K58</f>
        <v/>
      </c>
      <c r="M58" s="2" t="n">
        <v>0</v>
      </c>
      <c r="N58" s="2" t="n">
        <v>0</v>
      </c>
      <c r="O58" s="2" t="n">
        <v>-1</v>
      </c>
      <c r="P58" s="2" t="n">
        <v>0</v>
      </c>
      <c r="Q58" s="2" t="n">
        <v>0</v>
      </c>
      <c r="R58" s="2" t="n">
        <v>0</v>
      </c>
      <c r="S58" s="2" t="n">
        <v>0</v>
      </c>
      <c r="T58" s="3" t="n">
        <v>0</v>
      </c>
      <c r="U58" s="2" t="n">
        <v>0</v>
      </c>
      <c r="V58" s="3" t="n">
        <v>0</v>
      </c>
      <c r="W58" s="3" t="n">
        <v>0</v>
      </c>
      <c r="X58" s="3" t="n">
        <v>0</v>
      </c>
      <c r="Y58" t="inlineStr">
        <is>
          <t>NaN</t>
        </is>
      </c>
      <c r="Z58" t="inlineStr">
        <is>
          <t>NaN</t>
        </is>
      </c>
      <c r="AA58" s="2" t="n">
        <v>0</v>
      </c>
      <c r="AB58" s="2" t="n">
        <v>0</v>
      </c>
      <c r="AC58" t="inlineStr">
        <is>
          <t>NaN</t>
        </is>
      </c>
    </row>
    <row r="59">
      <c r="A59" s="7" t="inlineStr">
        <is>
          <t>Project</t>
        </is>
      </c>
      <c r="B59" s="7" t="inlineStr">
        <is>
          <t>battleship</t>
        </is>
      </c>
      <c r="C59" s="7" t="inlineStr">
        <is>
          <t>Compass</t>
        </is>
      </c>
      <c r="D59" t="inlineStr">
        <is>
          <t>values()</t>
        </is>
      </c>
      <c r="E59" t="inlineStr">
        <is>
          <t>Compass.values()</t>
        </is>
      </c>
      <c r="F59" s="8" t="n">
        <v>1</v>
      </c>
      <c r="G59" s="8" t="n">
        <v>0</v>
      </c>
      <c r="H59" s="8" t="n">
        <v>0</v>
      </c>
      <c r="I59" s="9">
        <f>IF(MAX($F$2:$F$194)=MIN($F$2:$F$194),0,(F59-MIN($F$2:$F$194))/(MAX($F$2:$F$194)-MIN($F$2:$F$194)))</f>
        <v/>
      </c>
      <c r="J59" s="9">
        <f>IF(MAX($G$2:$G$194)=MIN($G$2:$G$194),0,(G59-MIN($G$2:$G$194))/(MAX($G$2:$G$194)-MIN($G$2:$G$194)))</f>
        <v/>
      </c>
      <c r="K59" s="9">
        <f>IF(MAX($H$2:$H$194)=MIN($H$2:$H$194),0,(H59-MIN($H$2:$H$194))/(MAX($H$2:$H$194)-MIN($H$2:$H$194)))</f>
        <v/>
      </c>
      <c r="L59" s="9">
        <f>I59+J59+K59</f>
        <v/>
      </c>
      <c r="M59" s="2" t="n">
        <v>0</v>
      </c>
      <c r="N59" s="2" t="n">
        <v>0</v>
      </c>
      <c r="O59" s="2" t="n">
        <v>-1</v>
      </c>
      <c r="P59" s="2" t="n">
        <v>0</v>
      </c>
      <c r="Q59" s="2" t="n">
        <v>0</v>
      </c>
      <c r="R59" s="2" t="n">
        <v>0</v>
      </c>
      <c r="S59" s="2" t="n">
        <v>0</v>
      </c>
      <c r="T59" s="3" t="n">
        <v>0</v>
      </c>
      <c r="U59" s="2" t="n">
        <v>0</v>
      </c>
      <c r="V59" s="3" t="n">
        <v>0</v>
      </c>
      <c r="W59" s="3" t="n">
        <v>0</v>
      </c>
      <c r="X59" s="3" t="n">
        <v>0</v>
      </c>
      <c r="Y59" t="inlineStr">
        <is>
          <t>NaN</t>
        </is>
      </c>
      <c r="Z59" t="inlineStr">
        <is>
          <t>NaN</t>
        </is>
      </c>
      <c r="AA59" s="2" t="n">
        <v>0</v>
      </c>
      <c r="AB59" s="2" t="n">
        <v>0</v>
      </c>
      <c r="AC59" t="inlineStr">
        <is>
          <t>NaN</t>
        </is>
      </c>
    </row>
    <row r="60">
      <c r="A60" s="7" t="inlineStr">
        <is>
          <t>Project</t>
        </is>
      </c>
      <c r="B60" s="7" t="inlineStr">
        <is>
          <t>battleship</t>
        </is>
      </c>
      <c r="C60" s="7" t="inlineStr">
        <is>
          <t>Fleet</t>
        </is>
      </c>
      <c r="D60" t="inlineStr">
        <is>
          <t>Fleet()</t>
        </is>
      </c>
      <c r="E60" t="inlineStr">
        <is>
          <t>Fleet.Fleet()</t>
        </is>
      </c>
      <c r="F60" s="8" t="n">
        <v>1</v>
      </c>
      <c r="G60" s="8" t="n">
        <v>0</v>
      </c>
      <c r="H60" s="8" t="n">
        <v>7</v>
      </c>
      <c r="I60" s="9">
        <f>IF(MAX($F$2:$F$194)=MIN($F$2:$F$194),0,(F60-MIN($F$2:$F$194))/(MAX($F$2:$F$194)-MIN($F$2:$F$194)))</f>
        <v/>
      </c>
      <c r="J60" s="9">
        <f>IF(MAX($G$2:$G$194)=MIN($G$2:$G$194),0,(G60-MIN($G$2:$G$194))/(MAX($G$2:$G$194)-MIN($G$2:$G$194)))</f>
        <v/>
      </c>
      <c r="K60" s="9">
        <f>IF(MAX($H$2:$H$194)=MIN($H$2:$H$194),0,(H60-MIN($H$2:$H$194))/(MAX($H$2:$H$194)-MIN($H$2:$H$194)))</f>
        <v/>
      </c>
      <c r="L60" s="9">
        <f>I60+J60+K60</f>
        <v/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1</v>
      </c>
      <c r="S60" s="2" t="n">
        <v>0</v>
      </c>
      <c r="T60" s="3" t="n">
        <v>0</v>
      </c>
      <c r="U60" s="2" t="n">
        <v>0</v>
      </c>
      <c r="V60" s="3" t="n">
        <v>1</v>
      </c>
      <c r="W60" s="3" t="n">
        <v>77.3494</v>
      </c>
      <c r="X60" s="3" t="n">
        <v>1</v>
      </c>
      <c r="Y60" s="3" t="n">
        <v>4.7549</v>
      </c>
      <c r="Z60" s="3" t="n">
        <v>0.0009</v>
      </c>
      <c r="AA60" s="2" t="n">
        <v>3</v>
      </c>
      <c r="AB60" s="2" t="n">
        <v>3</v>
      </c>
      <c r="AC60" s="3" t="n">
        <v>4.7549</v>
      </c>
    </row>
    <row r="61">
      <c r="A61" s="7" t="inlineStr">
        <is>
          <t>Project</t>
        </is>
      </c>
      <c r="B61" s="7" t="inlineStr">
        <is>
          <t>battleship</t>
        </is>
      </c>
      <c r="C61" s="7" t="inlineStr">
        <is>
          <t>Fleet</t>
        </is>
      </c>
      <c r="D61" t="inlineStr">
        <is>
          <t>getShips()</t>
        </is>
      </c>
      <c r="E61" t="inlineStr">
        <is>
          <t>Fleet.getShips()</t>
        </is>
      </c>
      <c r="F61" s="8" t="n">
        <v>1</v>
      </c>
      <c r="G61" s="8" t="n">
        <v>0</v>
      </c>
      <c r="H61" s="8" t="n">
        <v>10</v>
      </c>
      <c r="I61" s="9">
        <f>IF(MAX($F$2:$F$194)=MIN($F$2:$F$194),0,(F61-MIN($F$2:$F$194))/(MAX($F$2:$F$194)-MIN($F$2:$F$194)))</f>
        <v/>
      </c>
      <c r="J61" s="9">
        <f>IF(MAX($G$2:$G$194)=MIN($G$2:$G$194),0,(G61-MIN($G$2:$G$194))/(MAX($G$2:$G$194)-MIN($G$2:$G$194)))</f>
        <v/>
      </c>
      <c r="K61" s="9">
        <f>IF(MAX($H$2:$H$194)=MIN($H$2:$H$194),0,(H61-MIN($H$2:$H$194))/(MAX($H$2:$H$194)-MIN($H$2:$H$194)))</f>
        <v/>
      </c>
      <c r="L61" s="9">
        <f>I61+J61+K61</f>
        <v/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1</v>
      </c>
      <c r="S61" s="2" t="n">
        <v>0</v>
      </c>
      <c r="T61" s="3" t="n">
        <v>0</v>
      </c>
      <c r="U61" s="2" t="n">
        <v>0</v>
      </c>
      <c r="V61" s="3" t="n">
        <v>1</v>
      </c>
      <c r="W61" s="3" t="n">
        <v>73.9704</v>
      </c>
      <c r="X61" s="3" t="n">
        <v>1</v>
      </c>
      <c r="Y61" s="3" t="n">
        <v>4.7549</v>
      </c>
      <c r="Z61" s="3" t="n">
        <v>0.0009</v>
      </c>
      <c r="AA61" s="2" t="n">
        <v>3</v>
      </c>
      <c r="AB61" s="2" t="n">
        <v>3</v>
      </c>
      <c r="AC61" s="3" t="n">
        <v>4.7549</v>
      </c>
    </row>
    <row r="62">
      <c r="A62" s="7" t="inlineStr">
        <is>
          <t>Project</t>
        </is>
      </c>
      <c r="B62" s="7" t="inlineStr">
        <is>
          <t>battleship</t>
        </is>
      </c>
      <c r="C62" s="7" t="inlineStr">
        <is>
          <t>Fleet</t>
        </is>
      </c>
      <c r="D62" t="inlineStr">
        <is>
          <t>printAllShips()</t>
        </is>
      </c>
      <c r="E62" t="inlineStr">
        <is>
          <t>Fleet.printAllShips()</t>
        </is>
      </c>
      <c r="F62" s="8" t="n">
        <v>1</v>
      </c>
      <c r="G62" s="8" t="n">
        <v>0</v>
      </c>
      <c r="H62" s="8" t="n">
        <v>7</v>
      </c>
      <c r="I62" s="9">
        <f>IF(MAX($F$2:$F$194)=MIN($F$2:$F$194),0,(F62-MIN($F$2:$F$194))/(MAX($F$2:$F$194)-MIN($F$2:$F$194)))</f>
        <v/>
      </c>
      <c r="J62" s="9">
        <f>IF(MAX($G$2:$G$194)=MIN($G$2:$G$194),0,(G62-MIN($G$2:$G$194))/(MAX($G$2:$G$194)-MIN($G$2:$G$194)))</f>
        <v/>
      </c>
      <c r="K62" s="9">
        <f>IF(MAX($H$2:$H$194)=MIN($H$2:$H$194),0,(H62-MIN($H$2:$H$194))/(MAX($H$2:$H$194)-MIN($H$2:$H$194)))</f>
        <v/>
      </c>
      <c r="L62" s="9">
        <f>I62+J62+K62</f>
        <v/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1</v>
      </c>
      <c r="S62" s="2" t="n">
        <v>0</v>
      </c>
      <c r="T62" s="3" t="n">
        <v>0</v>
      </c>
      <c r="U62" s="2" t="n">
        <v>0</v>
      </c>
      <c r="V62" s="3" t="n">
        <v>1</v>
      </c>
      <c r="W62" s="3" t="n">
        <v>77.3494</v>
      </c>
      <c r="X62" s="3" t="n">
        <v>1</v>
      </c>
      <c r="Y62" s="3" t="n">
        <v>4.7549</v>
      </c>
      <c r="Z62" s="3" t="n">
        <v>0.0009</v>
      </c>
      <c r="AA62" s="2" t="n">
        <v>3</v>
      </c>
      <c r="AB62" s="2" t="n">
        <v>3</v>
      </c>
      <c r="AC62" s="3" t="n">
        <v>4.7549</v>
      </c>
    </row>
    <row r="63">
      <c r="A63" s="7" t="inlineStr">
        <is>
          <t>Project</t>
        </is>
      </c>
      <c r="B63" s="7" t="inlineStr">
        <is>
          <t>battleship</t>
        </is>
      </c>
      <c r="C63" s="7" t="inlineStr">
        <is>
          <t>Fleet</t>
        </is>
      </c>
      <c r="D63" t="inlineStr">
        <is>
          <t>printFloatingShips()</t>
        </is>
      </c>
      <c r="E63" t="inlineStr">
        <is>
          <t>Fleet.printFloatingShips()</t>
        </is>
      </c>
      <c r="F63" s="8" t="n">
        <v>1</v>
      </c>
      <c r="G63" s="8" t="n">
        <v>0</v>
      </c>
      <c r="H63" s="8" t="n">
        <v>7</v>
      </c>
      <c r="I63" s="9">
        <f>IF(MAX($F$2:$F$194)=MIN($F$2:$F$194),0,(F63-MIN($F$2:$F$194))/(MAX($F$2:$F$194)-MIN($F$2:$F$194)))</f>
        <v/>
      </c>
      <c r="J63" s="9">
        <f>IF(MAX($G$2:$G$194)=MIN($G$2:$G$194),0,(G63-MIN($G$2:$G$194))/(MAX($G$2:$G$194)-MIN($G$2:$G$194)))</f>
        <v/>
      </c>
      <c r="K63" s="9">
        <f>IF(MAX($H$2:$H$194)=MIN($H$2:$H$194),0,(H63-MIN($H$2:$H$194))/(MAX($H$2:$H$194)-MIN($H$2:$H$194)))</f>
        <v/>
      </c>
      <c r="L63" s="9">
        <f>I63+J63+K63</f>
        <v/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3" t="n">
        <v>0</v>
      </c>
      <c r="U63" s="2" t="n">
        <v>0</v>
      </c>
      <c r="V63" s="3" t="n">
        <v>0</v>
      </c>
      <c r="W63" s="3" t="n">
        <v>75.24160000000001</v>
      </c>
      <c r="X63" s="3" t="n">
        <v>0</v>
      </c>
      <c r="Y63" s="3" t="n">
        <v>0</v>
      </c>
      <c r="Z63" s="3" t="n">
        <v>0</v>
      </c>
      <c r="AA63" s="2" t="n">
        <v>4</v>
      </c>
      <c r="AB63" s="2" t="n">
        <v>4</v>
      </c>
      <c r="AC63" s="3" t="n">
        <v>8</v>
      </c>
    </row>
    <row r="64">
      <c r="A64" s="7" t="inlineStr">
        <is>
          <t>Project</t>
        </is>
      </c>
      <c r="B64" s="7" t="inlineStr">
        <is>
          <t>battleship</t>
        </is>
      </c>
      <c r="C64" s="7" t="inlineStr">
        <is>
          <t>Fleet</t>
        </is>
      </c>
      <c r="D64" t="inlineStr">
        <is>
          <t>printShipsByCategory(String)</t>
        </is>
      </c>
      <c r="E64" t="inlineStr">
        <is>
          <t>Fleet.printShipsByCategory(String)</t>
        </is>
      </c>
      <c r="F64" s="8" t="n">
        <v>1</v>
      </c>
      <c r="G64" s="8" t="n">
        <v>1</v>
      </c>
      <c r="H64" s="8" t="n">
        <v>11</v>
      </c>
      <c r="I64" s="9">
        <f>IF(MAX($F$2:$F$194)=MIN($F$2:$F$194),0,(F64-MIN($F$2:$F$194))/(MAX($F$2:$F$194)-MIN($F$2:$F$194)))</f>
        <v/>
      </c>
      <c r="J64" s="9">
        <f>IF(MAX($G$2:$G$194)=MIN($G$2:$G$194),0,(G64-MIN($G$2:$G$194))/(MAX($G$2:$G$194)-MIN($G$2:$G$194)))</f>
        <v/>
      </c>
      <c r="K64" s="9">
        <f>IF(MAX($H$2:$H$194)=MIN($H$2:$H$194),0,(H64-MIN($H$2:$H$194))/(MAX($H$2:$H$194)-MIN($H$2:$H$194)))</f>
        <v/>
      </c>
      <c r="L64" s="9">
        <f>I64+J64+K64</f>
        <v/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1</v>
      </c>
      <c r="S64" s="2" t="n">
        <v>0</v>
      </c>
      <c r="T64" s="3" t="n">
        <v>0</v>
      </c>
      <c r="U64" s="2" t="n">
        <v>0</v>
      </c>
      <c r="V64" s="3" t="n">
        <v>0</v>
      </c>
      <c r="W64" s="3" t="n">
        <v>67.3754</v>
      </c>
      <c r="X64" s="3" t="n">
        <v>4.5</v>
      </c>
      <c r="Y64" s="3" t="n">
        <v>121.5</v>
      </c>
      <c r="Z64" s="3" t="n">
        <v>0.008200000000000001</v>
      </c>
      <c r="AA64" s="2" t="n">
        <v>9</v>
      </c>
      <c r="AB64" s="2" t="n">
        <v>8</v>
      </c>
      <c r="AC64" s="3" t="n">
        <v>27</v>
      </c>
    </row>
    <row r="65">
      <c r="A65" s="7" t="inlineStr">
        <is>
          <t>Project</t>
        </is>
      </c>
      <c r="B65" s="7" t="inlineStr">
        <is>
          <t>battleship</t>
        </is>
      </c>
      <c r="C65" s="7" t="inlineStr">
        <is>
          <t>Fleet</t>
        </is>
      </c>
      <c r="D65" t="inlineStr">
        <is>
          <t>printStatus()</t>
        </is>
      </c>
      <c r="E65" t="inlineStr">
        <is>
          <t>Fleet.printStatus()</t>
        </is>
      </c>
      <c r="F65" s="8" t="n">
        <v>1</v>
      </c>
      <c r="G65" s="8" t="n">
        <v>0</v>
      </c>
      <c r="H65" s="8" t="n">
        <v>14</v>
      </c>
      <c r="I65" s="9">
        <f>IF(MAX($F$2:$F$194)=MIN($F$2:$F$194),0,(F65-MIN($F$2:$F$194))/(MAX($F$2:$F$194)-MIN($F$2:$F$194)))</f>
        <v/>
      </c>
      <c r="J65" s="9">
        <f>IF(MAX($G$2:$G$194)=MIN($G$2:$G$194),0,(G65-MIN($G$2:$G$194))/(MAX($G$2:$G$194)-MIN($G$2:$G$194)))</f>
        <v/>
      </c>
      <c r="K65" s="9">
        <f>IF(MAX($H$2:$H$194)=MIN($H$2:$H$194),0,(H65-MIN($H$2:$H$194))/(MAX($H$2:$H$194)-MIN($H$2:$H$194)))</f>
        <v/>
      </c>
      <c r="L65" s="9">
        <f>I65+J65+K65</f>
        <v/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1</v>
      </c>
      <c r="S65" s="2" t="n">
        <v>2</v>
      </c>
      <c r="T65" s="3" t="n">
        <v>0.5</v>
      </c>
      <c r="U65" s="2" t="n">
        <v>1</v>
      </c>
      <c r="V65" s="3" t="n">
        <v>0</v>
      </c>
      <c r="W65" s="3" t="n">
        <v>63.4909</v>
      </c>
      <c r="X65" s="3" t="n">
        <v>3.5</v>
      </c>
      <c r="Y65" s="3" t="n">
        <v>157.4041</v>
      </c>
      <c r="Z65" s="3" t="n">
        <v>0.0097</v>
      </c>
      <c r="AA65" s="2" t="n">
        <v>13</v>
      </c>
      <c r="AB65" s="2" t="n">
        <v>11</v>
      </c>
      <c r="AC65" s="3" t="n">
        <v>44.9726</v>
      </c>
    </row>
    <row r="66">
      <c r="A66" s="7" t="inlineStr">
        <is>
          <t>Project</t>
        </is>
      </c>
      <c r="B66" s="7" t="inlineStr">
        <is>
          <t>battleship</t>
        </is>
      </c>
      <c r="C66" s="7" t="inlineStr">
        <is>
          <t>Game</t>
        </is>
      </c>
      <c r="D66" t="inlineStr">
        <is>
          <t>Game(IFleet)</t>
        </is>
      </c>
      <c r="E66" t="inlineStr">
        <is>
          <t>Game.Game(IFleet)</t>
        </is>
      </c>
      <c r="F66" s="8" t="n">
        <v>1</v>
      </c>
      <c r="G66" s="8" t="n">
        <v>1</v>
      </c>
      <c r="H66" s="8" t="n">
        <v>13</v>
      </c>
      <c r="I66" s="9">
        <f>IF(MAX($F$2:$F$194)=MIN($F$2:$F$194),0,(F66-MIN($F$2:$F$194))/(MAX($F$2:$F$194)-MIN($F$2:$F$194)))</f>
        <v/>
      </c>
      <c r="J66" s="9">
        <f>IF(MAX($G$2:$G$194)=MIN($G$2:$G$194),0,(G66-MIN($G$2:$G$194))/(MAX($G$2:$G$194)-MIN($G$2:$G$194)))</f>
        <v/>
      </c>
      <c r="K66" s="9">
        <f>IF(MAX($H$2:$H$194)=MIN($H$2:$H$194),0,(H66-MIN($H$2:$H$194))/(MAX($H$2:$H$194)-MIN($H$2:$H$194)))</f>
        <v/>
      </c>
      <c r="L66" s="9">
        <f>I66+J66+K66</f>
        <v/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10</v>
      </c>
      <c r="S66" s="2" t="n">
        <v>0</v>
      </c>
      <c r="T66" s="3" t="n">
        <v>0</v>
      </c>
      <c r="U66" s="2" t="n">
        <v>0</v>
      </c>
      <c r="V66" s="3" t="n">
        <v>1</v>
      </c>
      <c r="W66" s="3" t="n">
        <v>61.4344</v>
      </c>
      <c r="X66" s="3" t="n">
        <v>1.875</v>
      </c>
      <c r="Y66" s="3" t="n">
        <v>205.1118</v>
      </c>
      <c r="Z66" s="3" t="n">
        <v>0.0116</v>
      </c>
      <c r="AA66" s="2" t="n">
        <v>28</v>
      </c>
      <c r="AB66" s="2" t="n">
        <v>15</v>
      </c>
      <c r="AC66" s="3" t="n">
        <v>109.3929</v>
      </c>
    </row>
    <row r="67">
      <c r="A67" s="7" t="inlineStr">
        <is>
          <t>Project</t>
        </is>
      </c>
      <c r="B67" s="7" t="inlineStr">
        <is>
          <t>battleship</t>
        </is>
      </c>
      <c r="C67" s="7" t="inlineStr">
        <is>
          <t>Game</t>
        </is>
      </c>
      <c r="D67" t="inlineStr">
        <is>
          <t>exportSummary()</t>
        </is>
      </c>
      <c r="E67" t="inlineStr">
        <is>
          <t>Game.exportSummary()</t>
        </is>
      </c>
      <c r="F67" s="8" t="n">
        <v>1</v>
      </c>
      <c r="G67" s="8" t="n">
        <v>0</v>
      </c>
      <c r="H67" s="8" t="n">
        <v>3</v>
      </c>
      <c r="I67" s="9">
        <f>IF(MAX($F$2:$F$194)=MIN($F$2:$F$194),0,(F67-MIN($F$2:$F$194))/(MAX($F$2:$F$194)-MIN($F$2:$F$194)))</f>
        <v/>
      </c>
      <c r="J67" s="9">
        <f>IF(MAX($G$2:$G$194)=MIN($G$2:$G$194),0,(G67-MIN($G$2:$G$194))/(MAX($G$2:$G$194)-MIN($G$2:$G$194)))</f>
        <v/>
      </c>
      <c r="K67" s="9">
        <f>IF(MAX($H$2:$H$194)=MIN($H$2:$H$194),0,(H67-MIN($H$2:$H$194))/(MAX($H$2:$H$194)-MIN($H$2:$H$194)))</f>
        <v/>
      </c>
      <c r="L67" s="9">
        <f>I67+J67+K67</f>
        <v/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1</v>
      </c>
      <c r="S67" s="2" t="n">
        <v>0</v>
      </c>
      <c r="T67" s="3" t="n">
        <v>0</v>
      </c>
      <c r="U67" s="2" t="n">
        <v>1</v>
      </c>
      <c r="V67" s="3" t="n">
        <v>0</v>
      </c>
      <c r="W67" s="3" t="n">
        <v>82.3002</v>
      </c>
      <c r="X67" s="3" t="n">
        <v>2</v>
      </c>
      <c r="Y67" s="3" t="n">
        <v>23.2193</v>
      </c>
      <c r="Z67" s="3" t="n">
        <v>0.0027</v>
      </c>
      <c r="AA67" s="2" t="n">
        <v>5</v>
      </c>
      <c r="AB67" s="2" t="n">
        <v>5</v>
      </c>
      <c r="AC67" s="3" t="n">
        <v>11.6096</v>
      </c>
    </row>
    <row r="68">
      <c r="A68" s="7" t="inlineStr">
        <is>
          <t>Project</t>
        </is>
      </c>
      <c r="B68" s="7" t="inlineStr">
        <is>
          <t>battleship</t>
        </is>
      </c>
      <c r="C68" s="7" t="inlineStr">
        <is>
          <t>Game</t>
        </is>
      </c>
      <c r="D68" t="inlineStr">
        <is>
          <t>exportSummary(Path)</t>
        </is>
      </c>
      <c r="E68" t="inlineStr">
        <is>
          <t>Game.exportSummary(Path)</t>
        </is>
      </c>
      <c r="F68" s="8" t="n">
        <v>1</v>
      </c>
      <c r="G68" s="8" t="n">
        <v>1</v>
      </c>
      <c r="H68" s="8" t="n">
        <v>3</v>
      </c>
      <c r="I68" s="9">
        <f>IF(MAX($F$2:$F$194)=MIN($F$2:$F$194),0,(F68-MIN($F$2:$F$194))/(MAX($F$2:$F$194)-MIN($F$2:$F$194)))</f>
        <v/>
      </c>
      <c r="J68" s="9">
        <f>IF(MAX($G$2:$G$194)=MIN($G$2:$G$194),0,(G68-MIN($G$2:$G$194))/(MAX($G$2:$G$194)-MIN($G$2:$G$194)))</f>
        <v/>
      </c>
      <c r="K68" s="9">
        <f>IF(MAX($H$2:$H$194)=MIN($H$2:$H$194),0,(H68-MIN($H$2:$H$194))/(MAX($H$2:$H$194)-MIN($H$2:$H$194)))</f>
        <v/>
      </c>
      <c r="L68" s="9">
        <f>I68+J68+K68</f>
        <v/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1</v>
      </c>
      <c r="S68" s="2" t="n">
        <v>1</v>
      </c>
      <c r="T68" s="3" t="n">
        <v>0.5</v>
      </c>
      <c r="U68" s="2" t="n">
        <v>0</v>
      </c>
      <c r="V68" s="3" t="n">
        <v>0</v>
      </c>
      <c r="W68" s="3" t="n">
        <v>81.3571</v>
      </c>
      <c r="X68" s="3" t="n">
        <v>2.5</v>
      </c>
      <c r="Y68" s="3" t="n">
        <v>38.7744</v>
      </c>
      <c r="Z68" s="3" t="n">
        <v>0.0038</v>
      </c>
      <c r="AA68" s="2" t="n">
        <v>6</v>
      </c>
      <c r="AB68" s="2" t="n">
        <v>6</v>
      </c>
      <c r="AC68" s="3" t="n">
        <v>15.5098</v>
      </c>
    </row>
    <row r="69">
      <c r="A69" s="7" t="inlineStr">
        <is>
          <t>Project</t>
        </is>
      </c>
      <c r="B69" s="7" t="inlineStr">
        <is>
          <t>battleship</t>
        </is>
      </c>
      <c r="C69" s="7" t="inlineStr">
        <is>
          <t>Game</t>
        </is>
      </c>
      <c r="D69" t="inlineStr">
        <is>
          <t>getAlienFleet()</t>
        </is>
      </c>
      <c r="E69" t="inlineStr">
        <is>
          <t>Game.getAlienFleet()</t>
        </is>
      </c>
      <c r="F69" s="8" t="n">
        <v>1</v>
      </c>
      <c r="G69" s="8" t="n">
        <v>0</v>
      </c>
      <c r="H69" s="8" t="n">
        <v>5</v>
      </c>
      <c r="I69" s="9">
        <f>IF(MAX($F$2:$F$194)=MIN($F$2:$F$194),0,(F69-MIN($F$2:$F$194))/(MAX($F$2:$F$194)-MIN($F$2:$F$194)))</f>
        <v/>
      </c>
      <c r="J69" s="9">
        <f>IF(MAX($G$2:$G$194)=MIN($G$2:$G$194),0,(G69-MIN($G$2:$G$194))/(MAX($G$2:$G$194)-MIN($G$2:$G$194)))</f>
        <v/>
      </c>
      <c r="K69" s="9">
        <f>IF(MAX($H$2:$H$194)=MIN($H$2:$H$194),0,(H69-MIN($H$2:$H$194))/(MAX($H$2:$H$194)-MIN($H$2:$H$194)))</f>
        <v/>
      </c>
      <c r="L69" s="9">
        <f>I69+J69+K69</f>
        <v/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1</v>
      </c>
      <c r="S69" s="2" t="n">
        <v>0</v>
      </c>
      <c r="T69" s="3" t="n">
        <v>0</v>
      </c>
      <c r="U69" s="2" t="n">
        <v>0</v>
      </c>
      <c r="V69" s="3" t="n">
        <v>1</v>
      </c>
      <c r="W69" s="3" t="n">
        <v>80.5371</v>
      </c>
      <c r="X69" s="3" t="n">
        <v>1</v>
      </c>
      <c r="Y69" s="3" t="n">
        <v>4.7549</v>
      </c>
      <c r="Z69" s="3" t="n">
        <v>0.0009</v>
      </c>
      <c r="AA69" s="2" t="n">
        <v>3</v>
      </c>
      <c r="AB69" s="2" t="n">
        <v>3</v>
      </c>
      <c r="AC69" s="3" t="n">
        <v>4.7549</v>
      </c>
    </row>
    <row r="70">
      <c r="A70" s="7" t="inlineStr">
        <is>
          <t>Project</t>
        </is>
      </c>
      <c r="B70" s="7" t="inlineStr">
        <is>
          <t>battleship</t>
        </is>
      </c>
      <c r="C70" s="7" t="inlineStr">
        <is>
          <t>Game</t>
        </is>
      </c>
      <c r="D70" t="inlineStr">
        <is>
          <t>getAlienMoves()</t>
        </is>
      </c>
      <c r="E70" t="inlineStr">
        <is>
          <t>Game.getAlienMoves()</t>
        </is>
      </c>
      <c r="F70" s="8" t="n">
        <v>1</v>
      </c>
      <c r="G70" s="8" t="n">
        <v>0</v>
      </c>
      <c r="H70" s="8" t="n">
        <v>5</v>
      </c>
      <c r="I70" s="9">
        <f>IF(MAX($F$2:$F$194)=MIN($F$2:$F$194),0,(F70-MIN($F$2:$F$194))/(MAX($F$2:$F$194)-MIN($F$2:$F$194)))</f>
        <v/>
      </c>
      <c r="J70" s="9">
        <f>IF(MAX($G$2:$G$194)=MIN($G$2:$G$194),0,(G70-MIN($G$2:$G$194))/(MAX($G$2:$G$194)-MIN($G$2:$G$194)))</f>
        <v/>
      </c>
      <c r="K70" s="9">
        <f>IF(MAX($H$2:$H$194)=MIN($H$2:$H$194),0,(H70-MIN($H$2:$H$194))/(MAX($H$2:$H$194)-MIN($H$2:$H$194)))</f>
        <v/>
      </c>
      <c r="L70" s="9">
        <f>I70+J70+K70</f>
        <v/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1</v>
      </c>
      <c r="S70" s="2" t="n">
        <v>0</v>
      </c>
      <c r="T70" s="3" t="n">
        <v>0</v>
      </c>
      <c r="U70" s="2" t="n">
        <v>0</v>
      </c>
      <c r="V70" s="3" t="n">
        <v>1</v>
      </c>
      <c r="W70" s="3" t="n">
        <v>80.5371</v>
      </c>
      <c r="X70" s="3" t="n">
        <v>1</v>
      </c>
      <c r="Y70" s="3" t="n">
        <v>4.7549</v>
      </c>
      <c r="Z70" s="3" t="n">
        <v>0.0009</v>
      </c>
      <c r="AA70" s="2" t="n">
        <v>3</v>
      </c>
      <c r="AB70" s="2" t="n">
        <v>3</v>
      </c>
      <c r="AC70" s="3" t="n">
        <v>4.7549</v>
      </c>
    </row>
    <row r="71">
      <c r="A71" s="7" t="inlineStr">
        <is>
          <t>Project</t>
        </is>
      </c>
      <c r="B71" s="7" t="inlineStr">
        <is>
          <t>battleship</t>
        </is>
      </c>
      <c r="C71" s="7" t="inlineStr">
        <is>
          <t>Game</t>
        </is>
      </c>
      <c r="D71" t="inlineStr">
        <is>
          <t>getHits()</t>
        </is>
      </c>
      <c r="E71" t="inlineStr">
        <is>
          <t>Game.getHits()</t>
        </is>
      </c>
      <c r="F71" s="8" t="n">
        <v>1</v>
      </c>
      <c r="G71" s="8" t="n">
        <v>0</v>
      </c>
      <c r="H71" s="8" t="n">
        <v>5</v>
      </c>
      <c r="I71" s="9">
        <f>IF(MAX($F$2:$F$194)=MIN($F$2:$F$194),0,(F71-MIN($F$2:$F$194))/(MAX($F$2:$F$194)-MIN($F$2:$F$194)))</f>
        <v/>
      </c>
      <c r="J71" s="9">
        <f>IF(MAX($G$2:$G$194)=MIN($G$2:$G$194),0,(G71-MIN($G$2:$G$194))/(MAX($G$2:$G$194)-MIN($G$2:$G$194)))</f>
        <v/>
      </c>
      <c r="K71" s="9">
        <f>IF(MAX($H$2:$H$194)=MIN($H$2:$H$194),0,(H71-MIN($H$2:$H$194))/(MAX($H$2:$H$194)-MIN($H$2:$H$194)))</f>
        <v/>
      </c>
      <c r="L71" s="9">
        <f>I71+J71+K71</f>
        <v/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1</v>
      </c>
      <c r="S71" s="2" t="n">
        <v>0</v>
      </c>
      <c r="T71" s="3" t="n">
        <v>0</v>
      </c>
      <c r="U71" s="2" t="n">
        <v>0</v>
      </c>
      <c r="V71" s="3" t="n">
        <v>1</v>
      </c>
      <c r="W71" s="3" t="n">
        <v>77.46080000000001</v>
      </c>
      <c r="X71" s="3" t="n">
        <v>2</v>
      </c>
      <c r="Y71" s="3" t="n">
        <v>23.2193</v>
      </c>
      <c r="Z71" s="3" t="n">
        <v>0.0027</v>
      </c>
      <c r="AA71" s="2" t="n">
        <v>5</v>
      </c>
      <c r="AB71" s="2" t="n">
        <v>5</v>
      </c>
      <c r="AC71" s="3" t="n">
        <v>11.6096</v>
      </c>
    </row>
    <row r="72">
      <c r="A72" s="7" t="inlineStr">
        <is>
          <t>Project</t>
        </is>
      </c>
      <c r="B72" s="7" t="inlineStr">
        <is>
          <t>battleship</t>
        </is>
      </c>
      <c r="C72" s="7" t="inlineStr">
        <is>
          <t>Game</t>
        </is>
      </c>
      <c r="D72" t="inlineStr">
        <is>
          <t>getInvalidShots()</t>
        </is>
      </c>
      <c r="E72" t="inlineStr">
        <is>
          <t>Game.getInvalidShots()</t>
        </is>
      </c>
      <c r="F72" s="8" t="n">
        <v>1</v>
      </c>
      <c r="G72" s="8" t="n">
        <v>0</v>
      </c>
      <c r="H72" s="8" t="n">
        <v>5</v>
      </c>
      <c r="I72" s="9">
        <f>IF(MAX($F$2:$F$194)=MIN($F$2:$F$194),0,(F72-MIN($F$2:$F$194))/(MAX($F$2:$F$194)-MIN($F$2:$F$194)))</f>
        <v/>
      </c>
      <c r="J72" s="9">
        <f>IF(MAX($G$2:$G$194)=MIN($G$2:$G$194),0,(G72-MIN($G$2:$G$194))/(MAX($G$2:$G$194)-MIN($G$2:$G$194)))</f>
        <v/>
      </c>
      <c r="K72" s="9">
        <f>IF(MAX($H$2:$H$194)=MIN($H$2:$H$194),0,(H72-MIN($H$2:$H$194))/(MAX($H$2:$H$194)-MIN($H$2:$H$194)))</f>
        <v/>
      </c>
      <c r="L72" s="9">
        <f>I72+J72+K72</f>
        <v/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1</v>
      </c>
      <c r="S72" s="2" t="n">
        <v>0</v>
      </c>
      <c r="T72" s="3" t="n">
        <v>0</v>
      </c>
      <c r="U72" s="2" t="n">
        <v>0</v>
      </c>
      <c r="V72" s="3" t="n">
        <v>1</v>
      </c>
      <c r="W72" s="3" t="n">
        <v>77.46080000000001</v>
      </c>
      <c r="X72" s="3" t="n">
        <v>2</v>
      </c>
      <c r="Y72" s="3" t="n">
        <v>23.2193</v>
      </c>
      <c r="Z72" s="3" t="n">
        <v>0.0027</v>
      </c>
      <c r="AA72" s="2" t="n">
        <v>5</v>
      </c>
      <c r="AB72" s="2" t="n">
        <v>5</v>
      </c>
      <c r="AC72" s="3" t="n">
        <v>11.6096</v>
      </c>
    </row>
    <row r="73">
      <c r="A73" s="7" t="inlineStr">
        <is>
          <t>Project</t>
        </is>
      </c>
      <c r="B73" s="7" t="inlineStr">
        <is>
          <t>battleship</t>
        </is>
      </c>
      <c r="C73" s="7" t="inlineStr">
        <is>
          <t>Game</t>
        </is>
      </c>
      <c r="D73" t="inlineStr">
        <is>
          <t>getMyFleet()</t>
        </is>
      </c>
      <c r="E73" t="inlineStr">
        <is>
          <t>Game.getMyFleet()</t>
        </is>
      </c>
      <c r="F73" s="8" t="n">
        <v>1</v>
      </c>
      <c r="G73" s="8" t="n">
        <v>0</v>
      </c>
      <c r="H73" s="8" t="n">
        <v>5</v>
      </c>
      <c r="I73" s="9">
        <f>IF(MAX($F$2:$F$194)=MIN($F$2:$F$194),0,(F73-MIN($F$2:$F$194))/(MAX($F$2:$F$194)-MIN($F$2:$F$194)))</f>
        <v/>
      </c>
      <c r="J73" s="9">
        <f>IF(MAX($G$2:$G$194)=MIN($G$2:$G$194),0,(G73-MIN($G$2:$G$194))/(MAX($G$2:$G$194)-MIN($G$2:$G$194)))</f>
        <v/>
      </c>
      <c r="K73" s="9">
        <f>IF(MAX($H$2:$H$194)=MIN($H$2:$H$194),0,(H73-MIN($H$2:$H$194))/(MAX($H$2:$H$194)-MIN($H$2:$H$194)))</f>
        <v/>
      </c>
      <c r="L73" s="9">
        <f>I73+J73+K73</f>
        <v/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1</v>
      </c>
      <c r="S73" s="2" t="n">
        <v>0</v>
      </c>
      <c r="T73" s="3" t="n">
        <v>0</v>
      </c>
      <c r="U73" s="2" t="n">
        <v>0</v>
      </c>
      <c r="V73" s="3" t="n">
        <v>1</v>
      </c>
      <c r="W73" s="3" t="n">
        <v>80.5371</v>
      </c>
      <c r="X73" s="3" t="n">
        <v>1</v>
      </c>
      <c r="Y73" s="3" t="n">
        <v>4.7549</v>
      </c>
      <c r="Z73" s="3" t="n">
        <v>0.0009</v>
      </c>
      <c r="AA73" s="2" t="n">
        <v>3</v>
      </c>
      <c r="AB73" s="2" t="n">
        <v>3</v>
      </c>
      <c r="AC73" s="3" t="n">
        <v>4.7549</v>
      </c>
    </row>
    <row r="74">
      <c r="A74" s="7" t="inlineStr">
        <is>
          <t>Project</t>
        </is>
      </c>
      <c r="B74" s="7" t="inlineStr">
        <is>
          <t>battleship</t>
        </is>
      </c>
      <c r="C74" s="7" t="inlineStr">
        <is>
          <t>Game</t>
        </is>
      </c>
      <c r="D74" t="inlineStr">
        <is>
          <t>getMyMoves()</t>
        </is>
      </c>
      <c r="E74" t="inlineStr">
        <is>
          <t>Game.getMyMoves()</t>
        </is>
      </c>
      <c r="F74" s="8" t="n">
        <v>1</v>
      </c>
      <c r="G74" s="8" t="n">
        <v>0</v>
      </c>
      <c r="H74" s="8" t="n">
        <v>5</v>
      </c>
      <c r="I74" s="9">
        <f>IF(MAX($F$2:$F$194)=MIN($F$2:$F$194),0,(F74-MIN($F$2:$F$194))/(MAX($F$2:$F$194)-MIN($F$2:$F$194)))</f>
        <v/>
      </c>
      <c r="J74" s="9">
        <f>IF(MAX($G$2:$G$194)=MIN($G$2:$G$194),0,(G74-MIN($G$2:$G$194))/(MAX($G$2:$G$194)-MIN($G$2:$G$194)))</f>
        <v/>
      </c>
      <c r="K74" s="9">
        <f>IF(MAX($H$2:$H$194)=MIN($H$2:$H$194),0,(H74-MIN($H$2:$H$194))/(MAX($H$2:$H$194)-MIN($H$2:$H$194)))</f>
        <v/>
      </c>
      <c r="L74" s="9">
        <f>I74+J74+K74</f>
        <v/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1</v>
      </c>
      <c r="S74" s="2" t="n">
        <v>0</v>
      </c>
      <c r="T74" s="3" t="n">
        <v>0</v>
      </c>
      <c r="U74" s="2" t="n">
        <v>0</v>
      </c>
      <c r="V74" s="3" t="n">
        <v>1</v>
      </c>
      <c r="W74" s="3" t="n">
        <v>80.5371</v>
      </c>
      <c r="X74" s="3" t="n">
        <v>1</v>
      </c>
      <c r="Y74" s="3" t="n">
        <v>4.7549</v>
      </c>
      <c r="Z74" s="3" t="n">
        <v>0.0009</v>
      </c>
      <c r="AA74" s="2" t="n">
        <v>3</v>
      </c>
      <c r="AB74" s="2" t="n">
        <v>3</v>
      </c>
      <c r="AC74" s="3" t="n">
        <v>4.7549</v>
      </c>
    </row>
    <row r="75">
      <c r="A75" s="7" t="inlineStr">
        <is>
          <t>Project</t>
        </is>
      </c>
      <c r="B75" s="7" t="inlineStr">
        <is>
          <t>battleship</t>
        </is>
      </c>
      <c r="C75" s="7" t="inlineStr">
        <is>
          <t>Game</t>
        </is>
      </c>
      <c r="D75" t="inlineStr">
        <is>
          <t>getRemainingShips()</t>
        </is>
      </c>
      <c r="E75" t="inlineStr">
        <is>
          <t>Game.getRemainingShips()</t>
        </is>
      </c>
      <c r="F75" s="8" t="n">
        <v>1</v>
      </c>
      <c r="G75" s="8" t="n">
        <v>0</v>
      </c>
      <c r="H75" s="8" t="n">
        <v>6</v>
      </c>
      <c r="I75" s="9">
        <f>IF(MAX($F$2:$F$194)=MIN($F$2:$F$194),0,(F75-MIN($F$2:$F$194))/(MAX($F$2:$F$194)-MIN($F$2:$F$194)))</f>
        <v/>
      </c>
      <c r="J75" s="9">
        <f>IF(MAX($G$2:$G$194)=MIN($G$2:$G$194),0,(G75-MIN($G$2:$G$194))/(MAX($G$2:$G$194)-MIN($G$2:$G$194)))</f>
        <v/>
      </c>
      <c r="K75" s="9">
        <f>IF(MAX($H$2:$H$194)=MIN($H$2:$H$194),0,(H75-MIN($H$2:$H$194))/(MAX($H$2:$H$194)-MIN($H$2:$H$194)))</f>
        <v/>
      </c>
      <c r="L75" s="9">
        <f>I75+J75+K75</f>
        <v/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2</v>
      </c>
      <c r="S75" s="2" t="n">
        <v>2</v>
      </c>
      <c r="T75" s="3" t="n">
        <v>1</v>
      </c>
      <c r="U75" s="2" t="n">
        <v>0</v>
      </c>
      <c r="V75" s="3" t="n">
        <v>1</v>
      </c>
      <c r="W75" s="3" t="n">
        <v>74.0716</v>
      </c>
      <c r="X75" s="3" t="n">
        <v>2.5</v>
      </c>
      <c r="Y75" s="3" t="n">
        <v>49.1287</v>
      </c>
      <c r="Z75" s="3" t="n">
        <v>0.0045</v>
      </c>
      <c r="AA75" s="2" t="n">
        <v>7</v>
      </c>
      <c r="AB75" s="2" t="n">
        <v>7</v>
      </c>
      <c r="AC75" s="3" t="n">
        <v>19.6515</v>
      </c>
    </row>
    <row r="76">
      <c r="A76" s="7" t="inlineStr">
        <is>
          <t>Project</t>
        </is>
      </c>
      <c r="B76" s="7" t="inlineStr">
        <is>
          <t>battleship</t>
        </is>
      </c>
      <c r="C76" s="7" t="inlineStr">
        <is>
          <t>Game</t>
        </is>
      </c>
      <c r="D76" t="inlineStr">
        <is>
          <t>getRepeatedShots()</t>
        </is>
      </c>
      <c r="E76" t="inlineStr">
        <is>
          <t>Game.getRepeatedShots()</t>
        </is>
      </c>
      <c r="F76" s="8" t="n">
        <v>1</v>
      </c>
      <c r="G76" s="8" t="n">
        <v>0</v>
      </c>
      <c r="H76" s="8" t="n">
        <v>5</v>
      </c>
      <c r="I76" s="9">
        <f>IF(MAX($F$2:$F$194)=MIN($F$2:$F$194),0,(F76-MIN($F$2:$F$194))/(MAX($F$2:$F$194)-MIN($F$2:$F$194)))</f>
        <v/>
      </c>
      <c r="J76" s="9">
        <f>IF(MAX($G$2:$G$194)=MIN($G$2:$G$194),0,(G76-MIN($G$2:$G$194))/(MAX($G$2:$G$194)-MIN($G$2:$G$194)))</f>
        <v/>
      </c>
      <c r="K76" s="9">
        <f>IF(MAX($H$2:$H$194)=MIN($H$2:$H$194),0,(H76-MIN($H$2:$H$194))/(MAX($H$2:$H$194)-MIN($H$2:$H$194)))</f>
        <v/>
      </c>
      <c r="L76" s="9">
        <f>I76+J76+K76</f>
        <v/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1</v>
      </c>
      <c r="S76" s="2" t="n">
        <v>0</v>
      </c>
      <c r="T76" s="3" t="n">
        <v>0</v>
      </c>
      <c r="U76" s="2" t="n">
        <v>0</v>
      </c>
      <c r="V76" s="3" t="n">
        <v>1</v>
      </c>
      <c r="W76" s="3" t="n">
        <v>77.46080000000001</v>
      </c>
      <c r="X76" s="3" t="n">
        <v>2</v>
      </c>
      <c r="Y76" s="3" t="n">
        <v>23.2193</v>
      </c>
      <c r="Z76" s="3" t="n">
        <v>0.0027</v>
      </c>
      <c r="AA76" s="2" t="n">
        <v>5</v>
      </c>
      <c r="AB76" s="2" t="n">
        <v>5</v>
      </c>
      <c r="AC76" s="3" t="n">
        <v>11.6096</v>
      </c>
    </row>
    <row r="77">
      <c r="A77" s="7" t="inlineStr">
        <is>
          <t>Project</t>
        </is>
      </c>
      <c r="B77" s="7" t="inlineStr">
        <is>
          <t>battleship</t>
        </is>
      </c>
      <c r="C77" s="7" t="inlineStr">
        <is>
          <t>Game</t>
        </is>
      </c>
      <c r="D77" t="inlineStr">
        <is>
          <t>getSunkShips()</t>
        </is>
      </c>
      <c r="E77" t="inlineStr">
        <is>
          <t>Game.getSunkShips()</t>
        </is>
      </c>
      <c r="F77" s="8" t="n">
        <v>1</v>
      </c>
      <c r="G77" s="8" t="n">
        <v>0</v>
      </c>
      <c r="H77" s="8" t="n">
        <v>5</v>
      </c>
      <c r="I77" s="9">
        <f>IF(MAX($F$2:$F$194)=MIN($F$2:$F$194),0,(F77-MIN($F$2:$F$194))/(MAX($F$2:$F$194)-MIN($F$2:$F$194)))</f>
        <v/>
      </c>
      <c r="J77" s="9">
        <f>IF(MAX($G$2:$G$194)=MIN($G$2:$G$194),0,(G77-MIN($G$2:$G$194))/(MAX($G$2:$G$194)-MIN($G$2:$G$194)))</f>
        <v/>
      </c>
      <c r="K77" s="9">
        <f>IF(MAX($H$2:$H$194)=MIN($H$2:$H$194),0,(H77-MIN($H$2:$H$194))/(MAX($H$2:$H$194)-MIN($H$2:$H$194)))</f>
        <v/>
      </c>
      <c r="L77" s="9">
        <f>I77+J77+K77</f>
        <v/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1</v>
      </c>
      <c r="S77" s="2" t="n">
        <v>0</v>
      </c>
      <c r="T77" s="3" t="n">
        <v>0</v>
      </c>
      <c r="U77" s="2" t="n">
        <v>0</v>
      </c>
      <c r="V77" s="3" t="n">
        <v>1</v>
      </c>
      <c r="W77" s="3" t="n">
        <v>77.46080000000001</v>
      </c>
      <c r="X77" s="3" t="n">
        <v>2</v>
      </c>
      <c r="Y77" s="3" t="n">
        <v>23.2193</v>
      </c>
      <c r="Z77" s="3" t="n">
        <v>0.0027</v>
      </c>
      <c r="AA77" s="2" t="n">
        <v>5</v>
      </c>
      <c r="AB77" s="2" t="n">
        <v>5</v>
      </c>
      <c r="AC77" s="3" t="n">
        <v>11.6096</v>
      </c>
    </row>
    <row r="78">
      <c r="A78" s="7" t="inlineStr">
        <is>
          <t>Project</t>
        </is>
      </c>
      <c r="B78" s="7" t="inlineStr">
        <is>
          <t>battleship</t>
        </is>
      </c>
      <c r="C78" s="7" t="inlineStr">
        <is>
          <t>Game</t>
        </is>
      </c>
      <c r="D78" t="inlineStr">
        <is>
          <t>printAlienBoard(boolean, boolean)</t>
        </is>
      </c>
      <c r="E78" t="inlineStr">
        <is>
          <t>Game.printAlienBoard(boolean, boolean)</t>
        </is>
      </c>
      <c r="F78" s="8" t="n">
        <v>1</v>
      </c>
      <c r="G78" s="8" t="n">
        <v>2</v>
      </c>
      <c r="H78" s="8" t="n">
        <v>4</v>
      </c>
      <c r="I78" s="9">
        <f>IF(MAX($F$2:$F$194)=MIN($F$2:$F$194),0,(F78-MIN($F$2:$F$194))/(MAX($F$2:$F$194)-MIN($F$2:$F$194)))</f>
        <v/>
      </c>
      <c r="J78" s="9">
        <f>IF(MAX($G$2:$G$194)=MIN($G$2:$G$194),0,(G78-MIN($G$2:$G$194))/(MAX($G$2:$G$194)-MIN($G$2:$G$194)))</f>
        <v/>
      </c>
      <c r="K78" s="9">
        <f>IF(MAX($H$2:$H$194)=MIN($H$2:$H$194),0,(H78-MIN($H$2:$H$194))/(MAX($H$2:$H$194)-MIN($H$2:$H$194)))</f>
        <v/>
      </c>
      <c r="L78" s="9">
        <f>I78+J78+K78</f>
        <v/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4</v>
      </c>
      <c r="S78" s="2" t="n">
        <v>0</v>
      </c>
      <c r="T78" s="3" t="n">
        <v>0</v>
      </c>
      <c r="U78" s="2" t="n">
        <v>0</v>
      </c>
      <c r="V78" s="3" t="n">
        <v>1</v>
      </c>
      <c r="W78" s="3" t="n">
        <v>76.14319999999999</v>
      </c>
      <c r="X78" s="3" t="n">
        <v>2.5</v>
      </c>
      <c r="Y78" s="3" t="n">
        <v>87.1729</v>
      </c>
      <c r="Z78" s="3" t="n">
        <v>0.0066</v>
      </c>
      <c r="AA78" s="2" t="n">
        <v>11</v>
      </c>
      <c r="AB78" s="2" t="n">
        <v>9</v>
      </c>
      <c r="AC78" s="3" t="n">
        <v>34.8692</v>
      </c>
    </row>
    <row r="79">
      <c r="A79" s="7" t="inlineStr">
        <is>
          <t>Project</t>
        </is>
      </c>
      <c r="B79" s="7" t="inlineStr">
        <is>
          <t>battleship</t>
        </is>
      </c>
      <c r="C79" s="7" t="inlineStr">
        <is>
          <t>Game</t>
        </is>
      </c>
      <c r="D79" t="inlineStr">
        <is>
          <t>printMyBoard(boolean, boolean)</t>
        </is>
      </c>
      <c r="E79" t="inlineStr">
        <is>
          <t>Game.printMyBoard(boolean, boolean)</t>
        </is>
      </c>
      <c r="F79" s="8" t="n">
        <v>1</v>
      </c>
      <c r="G79" s="8" t="n">
        <v>2</v>
      </c>
      <c r="H79" s="8" t="n">
        <v>4</v>
      </c>
      <c r="I79" s="9">
        <f>IF(MAX($F$2:$F$194)=MIN($F$2:$F$194),0,(F79-MIN($F$2:$F$194))/(MAX($F$2:$F$194)-MIN($F$2:$F$194)))</f>
        <v/>
      </c>
      <c r="J79" s="9">
        <f>IF(MAX($G$2:$G$194)=MIN($G$2:$G$194),0,(G79-MIN($G$2:$G$194))/(MAX($G$2:$G$194)-MIN($G$2:$G$194)))</f>
        <v/>
      </c>
      <c r="K79" s="9">
        <f>IF(MAX($H$2:$H$194)=MIN($H$2:$H$194),0,(H79-MIN($H$2:$H$194))/(MAX($H$2:$H$194)-MIN($H$2:$H$194)))</f>
        <v/>
      </c>
      <c r="L79" s="9">
        <f>I79+J79+K79</f>
        <v/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4</v>
      </c>
      <c r="S79" s="2" t="n">
        <v>0</v>
      </c>
      <c r="T79" s="3" t="n">
        <v>0</v>
      </c>
      <c r="U79" s="2" t="n">
        <v>0</v>
      </c>
      <c r="V79" s="3" t="n">
        <v>1</v>
      </c>
      <c r="W79" s="3" t="n">
        <v>76.14319999999999</v>
      </c>
      <c r="X79" s="3" t="n">
        <v>2.5</v>
      </c>
      <c r="Y79" s="3" t="n">
        <v>87.1729</v>
      </c>
      <c r="Z79" s="3" t="n">
        <v>0.0066</v>
      </c>
      <c r="AA79" s="2" t="n">
        <v>11</v>
      </c>
      <c r="AB79" s="2" t="n">
        <v>9</v>
      </c>
      <c r="AC79" s="3" t="n">
        <v>34.8692</v>
      </c>
    </row>
    <row r="80">
      <c r="A80" s="7" t="inlineStr">
        <is>
          <t>Project</t>
        </is>
      </c>
      <c r="B80" s="7" t="inlineStr">
        <is>
          <t>battleship</t>
        </is>
      </c>
      <c r="C80" s="7" t="inlineStr">
        <is>
          <t>GameSummary</t>
        </is>
      </c>
      <c r="D80" t="inlineStr">
        <is>
          <t>GameSummary(String, String, String, int, int, int, int, int, int, int, int, List&lt;String&gt;, List&lt;MoveSummary&gt;)</t>
        </is>
      </c>
      <c r="E80" t="inlineStr">
        <is>
          <t>GameSummary.GameSummary(String, String, String, int, int, int, int, int, int, int, int, List&lt;String&gt;, List&lt;MoveSummary&gt;)</t>
        </is>
      </c>
      <c r="F80" s="8" t="n">
        <v>1</v>
      </c>
      <c r="G80" s="8" t="n">
        <v>13</v>
      </c>
      <c r="H80" s="8" t="n">
        <v>4</v>
      </c>
      <c r="I80" s="9">
        <f>IF(MAX($F$2:$F$194)=MIN($F$2:$F$194),0,(F80-MIN($F$2:$F$194))/(MAX($F$2:$F$194)-MIN($F$2:$F$194)))</f>
        <v/>
      </c>
      <c r="J80" s="9">
        <f>IF(MAX($G$2:$G$194)=MIN($G$2:$G$194),0,(G80-MIN($G$2:$G$194))/(MAX($G$2:$G$194)-MIN($G$2:$G$194)))</f>
        <v/>
      </c>
      <c r="K80" s="9">
        <f>IF(MAX($H$2:$H$194)=MIN($H$2:$H$194),0,(H80-MIN($H$2:$H$194))/(MAX($H$2:$H$194)-MIN($H$2:$H$194)))</f>
        <v/>
      </c>
      <c r="L80" s="9">
        <f>I80+J80+K80</f>
        <v/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2</v>
      </c>
      <c r="S80" s="2" t="n">
        <v>1</v>
      </c>
      <c r="T80" s="3" t="n">
        <v>1</v>
      </c>
      <c r="U80" s="2" t="n">
        <v>0</v>
      </c>
      <c r="V80" s="3" t="n">
        <v>0</v>
      </c>
      <c r="W80" s="3" t="n">
        <v>78.8415</v>
      </c>
      <c r="X80" s="3" t="n">
        <v>2</v>
      </c>
      <c r="Y80" s="3" t="n">
        <v>28</v>
      </c>
      <c r="Z80" s="3" t="n">
        <v>0.0031</v>
      </c>
      <c r="AA80" s="2" t="n">
        <v>7</v>
      </c>
      <c r="AB80" s="2" t="n">
        <v>4</v>
      </c>
      <c r="AC80" s="3" t="n">
        <v>14</v>
      </c>
    </row>
    <row r="81">
      <c r="A81" s="7" t="inlineStr">
        <is>
          <t>Project</t>
        </is>
      </c>
      <c r="B81" s="7" t="inlineStr">
        <is>
          <t>battleship</t>
        </is>
      </c>
      <c r="C81" s="7" t="inlineStr">
        <is>
          <t>GameSummary</t>
        </is>
      </c>
      <c r="D81" t="inlineStr">
        <is>
          <t>finalMessage()</t>
        </is>
      </c>
      <c r="E81" t="inlineStr">
        <is>
          <t>GameSummary.finalMessage()</t>
        </is>
      </c>
      <c r="F81" s="8" t="n">
        <v>1</v>
      </c>
      <c r="G81" s="8" t="n">
        <v>0</v>
      </c>
      <c r="H81" s="8" t="n">
        <v>1</v>
      </c>
      <c r="I81" s="9">
        <f>IF(MAX($F$2:$F$194)=MIN($F$2:$F$194),0,(F81-MIN($F$2:$F$194))/(MAX($F$2:$F$194)-MIN($F$2:$F$194)))</f>
        <v/>
      </c>
      <c r="J81" s="9">
        <f>IF(MAX($G$2:$G$194)=MIN($G$2:$G$194),0,(G81-MIN($G$2:$G$194))/(MAX($G$2:$G$194)-MIN($G$2:$G$194)))</f>
        <v/>
      </c>
      <c r="K81" s="9">
        <f>IF(MAX($H$2:$H$194)=MIN($H$2:$H$194),0,(H81-MIN($H$2:$H$194))/(MAX($H$2:$H$194)-MIN($H$2:$H$194)))</f>
        <v/>
      </c>
      <c r="L81" s="9">
        <f>I81+J81+K81</f>
        <v/>
      </c>
      <c r="M81" s="2" t="n">
        <v>0</v>
      </c>
      <c r="N81" s="2" t="n">
        <v>0</v>
      </c>
      <c r="O81" s="2" t="n">
        <v>-1</v>
      </c>
      <c r="P81" s="2" t="n">
        <v>0</v>
      </c>
      <c r="Q81" s="2" t="n">
        <v>0</v>
      </c>
      <c r="R81" s="2" t="n">
        <v>0</v>
      </c>
      <c r="S81" s="2" t="n">
        <v>0</v>
      </c>
      <c r="T81" s="3" t="n">
        <v>0</v>
      </c>
      <c r="U81" s="2" t="n">
        <v>0</v>
      </c>
      <c r="V81" s="3" t="n">
        <v>0</v>
      </c>
      <c r="W81" t="inlineStr">
        <is>
          <t>∞</t>
        </is>
      </c>
      <c r="X81" s="3" t="n">
        <v>0</v>
      </c>
      <c r="Y81" t="inlineStr">
        <is>
          <t>NaN</t>
        </is>
      </c>
      <c r="Z81" t="inlineStr">
        <is>
          <t>NaN</t>
        </is>
      </c>
      <c r="AA81" s="2" t="n">
        <v>0</v>
      </c>
      <c r="AB81" s="2" t="n">
        <v>0</v>
      </c>
      <c r="AC81" t="inlineStr">
        <is>
          <t>NaN</t>
        </is>
      </c>
    </row>
    <row r="82">
      <c r="A82" s="7" t="inlineStr">
        <is>
          <t>Project</t>
        </is>
      </c>
      <c r="B82" s="7" t="inlineStr">
        <is>
          <t>battleship</t>
        </is>
      </c>
      <c r="C82" s="7" t="inlineStr">
        <is>
          <t>GameSummary</t>
        </is>
      </c>
      <c r="D82" t="inlineStr">
        <is>
          <t>finalResult()</t>
        </is>
      </c>
      <c r="E82" t="inlineStr">
        <is>
          <t>GameSummary.finalResult()</t>
        </is>
      </c>
      <c r="F82" s="8" t="n">
        <v>1</v>
      </c>
      <c r="G82" s="8" t="n">
        <v>0</v>
      </c>
      <c r="H82" s="8" t="n">
        <v>1</v>
      </c>
      <c r="I82" s="9">
        <f>IF(MAX($F$2:$F$194)=MIN($F$2:$F$194),0,(F82-MIN($F$2:$F$194))/(MAX($F$2:$F$194)-MIN($F$2:$F$194)))</f>
        <v/>
      </c>
      <c r="J82" s="9">
        <f>IF(MAX($G$2:$G$194)=MIN($G$2:$G$194),0,(G82-MIN($G$2:$G$194))/(MAX($G$2:$G$194)-MIN($G$2:$G$194)))</f>
        <v/>
      </c>
      <c r="K82" s="9">
        <f>IF(MAX($H$2:$H$194)=MIN($H$2:$H$194),0,(H82-MIN($H$2:$H$194))/(MAX($H$2:$H$194)-MIN($H$2:$H$194)))</f>
        <v/>
      </c>
      <c r="L82" s="9">
        <f>I82+J82+K82</f>
        <v/>
      </c>
      <c r="M82" s="2" t="n">
        <v>0</v>
      </c>
      <c r="N82" s="2" t="n">
        <v>0</v>
      </c>
      <c r="O82" s="2" t="n">
        <v>-1</v>
      </c>
      <c r="P82" s="2" t="n">
        <v>0</v>
      </c>
      <c r="Q82" s="2" t="n">
        <v>0</v>
      </c>
      <c r="R82" s="2" t="n">
        <v>0</v>
      </c>
      <c r="S82" s="2" t="n">
        <v>0</v>
      </c>
      <c r="T82" s="3" t="n">
        <v>0</v>
      </c>
      <c r="U82" s="2" t="n">
        <v>0</v>
      </c>
      <c r="V82" s="3" t="n">
        <v>0</v>
      </c>
      <c r="W82" t="inlineStr">
        <is>
          <t>∞</t>
        </is>
      </c>
      <c r="X82" s="3" t="n">
        <v>0</v>
      </c>
      <c r="Y82" t="inlineStr">
        <is>
          <t>NaN</t>
        </is>
      </c>
      <c r="Z82" t="inlineStr">
        <is>
          <t>NaN</t>
        </is>
      </c>
      <c r="AA82" s="2" t="n">
        <v>0</v>
      </c>
      <c r="AB82" s="2" t="n">
        <v>0</v>
      </c>
      <c r="AC82" t="inlineStr">
        <is>
          <t>NaN</t>
        </is>
      </c>
    </row>
    <row r="83">
      <c r="A83" s="7" t="inlineStr">
        <is>
          <t>Project</t>
        </is>
      </c>
      <c r="B83" s="7" t="inlineStr">
        <is>
          <t>battleship</t>
        </is>
      </c>
      <c r="C83" s="7" t="inlineStr">
        <is>
          <t>GameSummary</t>
        </is>
      </c>
      <c r="D83" t="inlineStr">
        <is>
          <t>fleetStatus()</t>
        </is>
      </c>
      <c r="E83" t="inlineStr">
        <is>
          <t>GameSummary.fleetStatus()</t>
        </is>
      </c>
      <c r="F83" s="8" t="n">
        <v>1</v>
      </c>
      <c r="G83" s="8" t="n">
        <v>0</v>
      </c>
      <c r="H83" s="8" t="n">
        <v>1</v>
      </c>
      <c r="I83" s="9">
        <f>IF(MAX($F$2:$F$194)=MIN($F$2:$F$194),0,(F83-MIN($F$2:$F$194))/(MAX($F$2:$F$194)-MIN($F$2:$F$194)))</f>
        <v/>
      </c>
      <c r="J83" s="9">
        <f>IF(MAX($G$2:$G$194)=MIN($G$2:$G$194),0,(G83-MIN($G$2:$G$194))/(MAX($G$2:$G$194)-MIN($G$2:$G$194)))</f>
        <v/>
      </c>
      <c r="K83" s="9">
        <f>IF(MAX($H$2:$H$194)=MIN($H$2:$H$194),0,(H83-MIN($H$2:$H$194))/(MAX($H$2:$H$194)-MIN($H$2:$H$194)))</f>
        <v/>
      </c>
      <c r="L83" s="9">
        <f>I83+J83+K83</f>
        <v/>
      </c>
      <c r="M83" s="2" t="n">
        <v>0</v>
      </c>
      <c r="N83" s="2" t="n">
        <v>0</v>
      </c>
      <c r="O83" s="2" t="n">
        <v>-1</v>
      </c>
      <c r="P83" s="2" t="n">
        <v>0</v>
      </c>
      <c r="Q83" s="2" t="n">
        <v>0</v>
      </c>
      <c r="R83" s="2" t="n">
        <v>0</v>
      </c>
      <c r="S83" s="2" t="n">
        <v>0</v>
      </c>
      <c r="T83" s="3" t="n">
        <v>0</v>
      </c>
      <c r="U83" s="2" t="n">
        <v>0</v>
      </c>
      <c r="V83" s="3" t="n">
        <v>0</v>
      </c>
      <c r="W83" t="inlineStr">
        <is>
          <t>∞</t>
        </is>
      </c>
      <c r="X83" s="3" t="n">
        <v>0</v>
      </c>
      <c r="Y83" t="inlineStr">
        <is>
          <t>NaN</t>
        </is>
      </c>
      <c r="Z83" t="inlineStr">
        <is>
          <t>NaN</t>
        </is>
      </c>
      <c r="AA83" s="2" t="n">
        <v>0</v>
      </c>
      <c r="AB83" s="2" t="n">
        <v>0</v>
      </c>
      <c r="AC83" t="inlineStr">
        <is>
          <t>NaN</t>
        </is>
      </c>
    </row>
    <row r="84">
      <c r="A84" s="7" t="inlineStr">
        <is>
          <t>Project</t>
        </is>
      </c>
      <c r="B84" s="7" t="inlineStr">
        <is>
          <t>battleship</t>
        </is>
      </c>
      <c r="C84" s="7" t="inlineStr">
        <is>
          <t>GameSummary</t>
        </is>
      </c>
      <c r="D84" t="inlineStr">
        <is>
          <t>moveSummaries()</t>
        </is>
      </c>
      <c r="E84" t="inlineStr">
        <is>
          <t>GameSummary.moveSummaries()</t>
        </is>
      </c>
      <c r="F84" s="8" t="n">
        <v>1</v>
      </c>
      <c r="G84" s="8" t="n">
        <v>0</v>
      </c>
      <c r="H84" s="8" t="n">
        <v>1</v>
      </c>
      <c r="I84" s="9">
        <f>IF(MAX($F$2:$F$194)=MIN($F$2:$F$194),0,(F84-MIN($F$2:$F$194))/(MAX($F$2:$F$194)-MIN($F$2:$F$194)))</f>
        <v/>
      </c>
      <c r="J84" s="9">
        <f>IF(MAX($G$2:$G$194)=MIN($G$2:$G$194),0,(G84-MIN($G$2:$G$194))/(MAX($G$2:$G$194)-MIN($G$2:$G$194)))</f>
        <v/>
      </c>
      <c r="K84" s="9">
        <f>IF(MAX($H$2:$H$194)=MIN($H$2:$H$194),0,(H84-MIN($H$2:$H$194))/(MAX($H$2:$H$194)-MIN($H$2:$H$194)))</f>
        <v/>
      </c>
      <c r="L84" s="9">
        <f>I84+J84+K84</f>
        <v/>
      </c>
      <c r="M84" s="2" t="n">
        <v>0</v>
      </c>
      <c r="N84" s="2" t="n">
        <v>0</v>
      </c>
      <c r="O84" s="2" t="n">
        <v>-1</v>
      </c>
      <c r="P84" s="2" t="n">
        <v>0</v>
      </c>
      <c r="Q84" s="2" t="n">
        <v>0</v>
      </c>
      <c r="R84" s="2" t="n">
        <v>0</v>
      </c>
      <c r="S84" s="2" t="n">
        <v>0</v>
      </c>
      <c r="T84" s="3" t="n">
        <v>0</v>
      </c>
      <c r="U84" s="2" t="n">
        <v>0</v>
      </c>
      <c r="V84" s="3" t="n">
        <v>0</v>
      </c>
      <c r="W84" t="inlineStr">
        <is>
          <t>∞</t>
        </is>
      </c>
      <c r="X84" s="3" t="n">
        <v>0</v>
      </c>
      <c r="Y84" t="inlineStr">
        <is>
          <t>NaN</t>
        </is>
      </c>
      <c r="Z84" t="inlineStr">
        <is>
          <t>NaN</t>
        </is>
      </c>
      <c r="AA84" s="2" t="n">
        <v>0</v>
      </c>
      <c r="AB84" s="2" t="n">
        <v>0</v>
      </c>
      <c r="AC84" t="inlineStr">
        <is>
          <t>NaN</t>
        </is>
      </c>
    </row>
    <row r="85">
      <c r="A85" s="7" t="inlineStr">
        <is>
          <t>Project</t>
        </is>
      </c>
      <c r="B85" s="7" t="inlineStr">
        <is>
          <t>battleship</t>
        </is>
      </c>
      <c r="C85" s="7" t="inlineStr">
        <is>
          <t>GameSummary</t>
        </is>
      </c>
      <c r="D85" t="inlineStr">
        <is>
          <t>remainingShips()</t>
        </is>
      </c>
      <c r="E85" t="inlineStr">
        <is>
          <t>GameSummary.remainingShips()</t>
        </is>
      </c>
      <c r="F85" s="8" t="n">
        <v>1</v>
      </c>
      <c r="G85" s="8" t="n">
        <v>0</v>
      </c>
      <c r="H85" s="8" t="n">
        <v>1</v>
      </c>
      <c r="I85" s="9">
        <f>IF(MAX($F$2:$F$194)=MIN($F$2:$F$194),0,(F85-MIN($F$2:$F$194))/(MAX($F$2:$F$194)-MIN($F$2:$F$194)))</f>
        <v/>
      </c>
      <c r="J85" s="9">
        <f>IF(MAX($G$2:$G$194)=MIN($G$2:$G$194),0,(G85-MIN($G$2:$G$194))/(MAX($G$2:$G$194)-MIN($G$2:$G$194)))</f>
        <v/>
      </c>
      <c r="K85" s="9">
        <f>IF(MAX($H$2:$H$194)=MIN($H$2:$H$194),0,(H85-MIN($H$2:$H$194))/(MAX($H$2:$H$194)-MIN($H$2:$H$194)))</f>
        <v/>
      </c>
      <c r="L85" s="9">
        <f>I85+J85+K85</f>
        <v/>
      </c>
      <c r="M85" s="2" t="n">
        <v>0</v>
      </c>
      <c r="N85" s="2" t="n">
        <v>0</v>
      </c>
      <c r="O85" s="2" t="n">
        <v>-1</v>
      </c>
      <c r="P85" s="2" t="n">
        <v>0</v>
      </c>
      <c r="Q85" s="2" t="n">
        <v>0</v>
      </c>
      <c r="R85" s="2" t="n">
        <v>0</v>
      </c>
      <c r="S85" s="2" t="n">
        <v>0</v>
      </c>
      <c r="T85" s="3" t="n">
        <v>0</v>
      </c>
      <c r="U85" s="2" t="n">
        <v>0</v>
      </c>
      <c r="V85" s="3" t="n">
        <v>0</v>
      </c>
      <c r="W85" t="inlineStr">
        <is>
          <t>∞</t>
        </is>
      </c>
      <c r="X85" s="3" t="n">
        <v>0</v>
      </c>
      <c r="Y85" t="inlineStr">
        <is>
          <t>NaN</t>
        </is>
      </c>
      <c r="Z85" t="inlineStr">
        <is>
          <t>NaN</t>
        </is>
      </c>
      <c r="AA85" s="2" t="n">
        <v>0</v>
      </c>
      <c r="AB85" s="2" t="n">
        <v>0</v>
      </c>
      <c r="AC85" t="inlineStr">
        <is>
          <t>NaN</t>
        </is>
      </c>
    </row>
    <row r="86">
      <c r="A86" s="7" t="inlineStr">
        <is>
          <t>Project</t>
        </is>
      </c>
      <c r="B86" s="7" t="inlineStr">
        <is>
          <t>battleship</t>
        </is>
      </c>
      <c r="C86" s="7" t="inlineStr">
        <is>
          <t>GameSummary</t>
        </is>
      </c>
      <c r="D86" t="inlineStr">
        <is>
          <t>title()</t>
        </is>
      </c>
      <c r="E86" t="inlineStr">
        <is>
          <t>GameSummary.title()</t>
        </is>
      </c>
      <c r="F86" s="8" t="n">
        <v>1</v>
      </c>
      <c r="G86" s="8" t="n">
        <v>0</v>
      </c>
      <c r="H86" s="8" t="n">
        <v>1</v>
      </c>
      <c r="I86" s="9">
        <f>IF(MAX($F$2:$F$194)=MIN($F$2:$F$194),0,(F86-MIN($F$2:$F$194))/(MAX($F$2:$F$194)-MIN($F$2:$F$194)))</f>
        <v/>
      </c>
      <c r="J86" s="9">
        <f>IF(MAX($G$2:$G$194)=MIN($G$2:$G$194),0,(G86-MIN($G$2:$G$194))/(MAX($G$2:$G$194)-MIN($G$2:$G$194)))</f>
        <v/>
      </c>
      <c r="K86" s="9">
        <f>IF(MAX($H$2:$H$194)=MIN($H$2:$H$194),0,(H86-MIN($H$2:$H$194))/(MAX($H$2:$H$194)-MIN($H$2:$H$194)))</f>
        <v/>
      </c>
      <c r="L86" s="9">
        <f>I86+J86+K86</f>
        <v/>
      </c>
      <c r="M86" s="2" t="n">
        <v>0</v>
      </c>
      <c r="N86" s="2" t="n">
        <v>0</v>
      </c>
      <c r="O86" s="2" t="n">
        <v>-1</v>
      </c>
      <c r="P86" s="2" t="n">
        <v>0</v>
      </c>
      <c r="Q86" s="2" t="n">
        <v>0</v>
      </c>
      <c r="R86" s="2" t="n">
        <v>0</v>
      </c>
      <c r="S86" s="2" t="n">
        <v>0</v>
      </c>
      <c r="T86" s="3" t="n">
        <v>0</v>
      </c>
      <c r="U86" s="2" t="n">
        <v>0</v>
      </c>
      <c r="V86" s="3" t="n">
        <v>0</v>
      </c>
      <c r="W86" t="inlineStr">
        <is>
          <t>∞</t>
        </is>
      </c>
      <c r="X86" s="3" t="n">
        <v>0</v>
      </c>
      <c r="Y86" t="inlineStr">
        <is>
          <t>NaN</t>
        </is>
      </c>
      <c r="Z86" t="inlineStr">
        <is>
          <t>NaN</t>
        </is>
      </c>
      <c r="AA86" s="2" t="n">
        <v>0</v>
      </c>
      <c r="AB86" s="2" t="n">
        <v>0</v>
      </c>
      <c r="AC86" t="inlineStr">
        <is>
          <t>NaN</t>
        </is>
      </c>
    </row>
    <row r="87">
      <c r="A87" s="7" t="inlineStr">
        <is>
          <t>Project</t>
        </is>
      </c>
      <c r="B87" s="7" t="inlineStr">
        <is>
          <t>battleship</t>
        </is>
      </c>
      <c r="C87" s="7" t="inlineStr">
        <is>
          <t>GameSummary</t>
        </is>
      </c>
      <c r="D87" t="inlineStr">
        <is>
          <t>totalHits()</t>
        </is>
      </c>
      <c r="E87" t="inlineStr">
        <is>
          <t>GameSummary.totalHits()</t>
        </is>
      </c>
      <c r="F87" s="8" t="n">
        <v>1</v>
      </c>
      <c r="G87" s="8" t="n">
        <v>0</v>
      </c>
      <c r="H87" s="8" t="n">
        <v>1</v>
      </c>
      <c r="I87" s="9">
        <f>IF(MAX($F$2:$F$194)=MIN($F$2:$F$194),0,(F87-MIN($F$2:$F$194))/(MAX($F$2:$F$194)-MIN($F$2:$F$194)))</f>
        <v/>
      </c>
      <c r="J87" s="9">
        <f>IF(MAX($G$2:$G$194)=MIN($G$2:$G$194),0,(G87-MIN($G$2:$G$194))/(MAX($G$2:$G$194)-MIN($G$2:$G$194)))</f>
        <v/>
      </c>
      <c r="K87" s="9">
        <f>IF(MAX($H$2:$H$194)=MIN($H$2:$H$194),0,(H87-MIN($H$2:$H$194))/(MAX($H$2:$H$194)-MIN($H$2:$H$194)))</f>
        <v/>
      </c>
      <c r="L87" s="9">
        <f>I87+J87+K87</f>
        <v/>
      </c>
      <c r="M87" s="2" t="n">
        <v>0</v>
      </c>
      <c r="N87" s="2" t="n">
        <v>0</v>
      </c>
      <c r="O87" s="2" t="n">
        <v>-1</v>
      </c>
      <c r="P87" s="2" t="n">
        <v>0</v>
      </c>
      <c r="Q87" s="2" t="n">
        <v>0</v>
      </c>
      <c r="R87" s="2" t="n">
        <v>0</v>
      </c>
      <c r="S87" s="2" t="n">
        <v>0</v>
      </c>
      <c r="T87" s="3" t="n">
        <v>0</v>
      </c>
      <c r="U87" s="2" t="n">
        <v>0</v>
      </c>
      <c r="V87" s="3" t="n">
        <v>0</v>
      </c>
      <c r="W87" t="inlineStr">
        <is>
          <t>∞</t>
        </is>
      </c>
      <c r="X87" s="3" t="n">
        <v>0</v>
      </c>
      <c r="Y87" t="inlineStr">
        <is>
          <t>NaN</t>
        </is>
      </c>
      <c r="Z87" t="inlineStr">
        <is>
          <t>NaN</t>
        </is>
      </c>
      <c r="AA87" s="2" t="n">
        <v>0</v>
      </c>
      <c r="AB87" s="2" t="n">
        <v>0</v>
      </c>
      <c r="AC87" t="inlineStr">
        <is>
          <t>NaN</t>
        </is>
      </c>
    </row>
    <row r="88">
      <c r="A88" s="7" t="inlineStr">
        <is>
          <t>Project</t>
        </is>
      </c>
      <c r="B88" s="7" t="inlineStr">
        <is>
          <t>battleship</t>
        </is>
      </c>
      <c r="C88" s="7" t="inlineStr">
        <is>
          <t>GameSummary</t>
        </is>
      </c>
      <c r="D88" t="inlineStr">
        <is>
          <t>totalMissedShots()</t>
        </is>
      </c>
      <c r="E88" t="inlineStr">
        <is>
          <t>GameSummary.totalMissedShots()</t>
        </is>
      </c>
      <c r="F88" s="8" t="n">
        <v>1</v>
      </c>
      <c r="G88" s="8" t="n">
        <v>0</v>
      </c>
      <c r="H88" s="8" t="n">
        <v>1</v>
      </c>
      <c r="I88" s="9">
        <f>IF(MAX($F$2:$F$194)=MIN($F$2:$F$194),0,(F88-MIN($F$2:$F$194))/(MAX($F$2:$F$194)-MIN($F$2:$F$194)))</f>
        <v/>
      </c>
      <c r="J88" s="9">
        <f>IF(MAX($G$2:$G$194)=MIN($G$2:$G$194),0,(G88-MIN($G$2:$G$194))/(MAX($G$2:$G$194)-MIN($G$2:$G$194)))</f>
        <v/>
      </c>
      <c r="K88" s="9">
        <f>IF(MAX($H$2:$H$194)=MIN($H$2:$H$194),0,(H88-MIN($H$2:$H$194))/(MAX($H$2:$H$194)-MIN($H$2:$H$194)))</f>
        <v/>
      </c>
      <c r="L88" s="9">
        <f>I88+J88+K88</f>
        <v/>
      </c>
      <c r="M88" s="2" t="n">
        <v>0</v>
      </c>
      <c r="N88" s="2" t="n">
        <v>0</v>
      </c>
      <c r="O88" s="2" t="n">
        <v>-1</v>
      </c>
      <c r="P88" s="2" t="n">
        <v>0</v>
      </c>
      <c r="Q88" s="2" t="n">
        <v>0</v>
      </c>
      <c r="R88" s="2" t="n">
        <v>0</v>
      </c>
      <c r="S88" s="2" t="n">
        <v>0</v>
      </c>
      <c r="T88" s="3" t="n">
        <v>0</v>
      </c>
      <c r="U88" s="2" t="n">
        <v>0</v>
      </c>
      <c r="V88" s="3" t="n">
        <v>0</v>
      </c>
      <c r="W88" t="inlineStr">
        <is>
          <t>∞</t>
        </is>
      </c>
      <c r="X88" s="3" t="n">
        <v>0</v>
      </c>
      <c r="Y88" t="inlineStr">
        <is>
          <t>NaN</t>
        </is>
      </c>
      <c r="Z88" t="inlineStr">
        <is>
          <t>NaN</t>
        </is>
      </c>
      <c r="AA88" s="2" t="n">
        <v>0</v>
      </c>
      <c r="AB88" s="2" t="n">
        <v>0</v>
      </c>
      <c r="AC88" t="inlineStr">
        <is>
          <t>NaN</t>
        </is>
      </c>
    </row>
    <row r="89">
      <c r="A89" s="7" t="inlineStr">
        <is>
          <t>Project</t>
        </is>
      </c>
      <c r="B89" s="7" t="inlineStr">
        <is>
          <t>battleship</t>
        </is>
      </c>
      <c r="C89" s="7" t="inlineStr">
        <is>
          <t>GameSummary</t>
        </is>
      </c>
      <c r="D89" t="inlineStr">
        <is>
          <t>totalMoves()</t>
        </is>
      </c>
      <c r="E89" t="inlineStr">
        <is>
          <t>GameSummary.totalMoves()</t>
        </is>
      </c>
      <c r="F89" s="8" t="n">
        <v>1</v>
      </c>
      <c r="G89" s="8" t="n">
        <v>0</v>
      </c>
      <c r="H89" s="8" t="n">
        <v>1</v>
      </c>
      <c r="I89" s="9">
        <f>IF(MAX($F$2:$F$194)=MIN($F$2:$F$194),0,(F89-MIN($F$2:$F$194))/(MAX($F$2:$F$194)-MIN($F$2:$F$194)))</f>
        <v/>
      </c>
      <c r="J89" s="9">
        <f>IF(MAX($G$2:$G$194)=MIN($G$2:$G$194),0,(G89-MIN($G$2:$G$194))/(MAX($G$2:$G$194)-MIN($G$2:$G$194)))</f>
        <v/>
      </c>
      <c r="K89" s="9">
        <f>IF(MAX($H$2:$H$194)=MIN($H$2:$H$194),0,(H89-MIN($H$2:$H$194))/(MAX($H$2:$H$194)-MIN($H$2:$H$194)))</f>
        <v/>
      </c>
      <c r="L89" s="9">
        <f>I89+J89+K89</f>
        <v/>
      </c>
      <c r="M89" s="2" t="n">
        <v>0</v>
      </c>
      <c r="N89" s="2" t="n">
        <v>0</v>
      </c>
      <c r="O89" s="2" t="n">
        <v>-1</v>
      </c>
      <c r="P89" s="2" t="n">
        <v>0</v>
      </c>
      <c r="Q89" s="2" t="n">
        <v>0</v>
      </c>
      <c r="R89" s="2" t="n">
        <v>0</v>
      </c>
      <c r="S89" s="2" t="n">
        <v>0</v>
      </c>
      <c r="T89" s="3" t="n">
        <v>0</v>
      </c>
      <c r="U89" s="2" t="n">
        <v>0</v>
      </c>
      <c r="V89" s="3" t="n">
        <v>0</v>
      </c>
      <c r="W89" t="inlineStr">
        <is>
          <t>∞</t>
        </is>
      </c>
      <c r="X89" s="3" t="n">
        <v>0</v>
      </c>
      <c r="Y89" t="inlineStr">
        <is>
          <t>NaN</t>
        </is>
      </c>
      <c r="Z89" t="inlineStr">
        <is>
          <t>NaN</t>
        </is>
      </c>
      <c r="AA89" s="2" t="n">
        <v>0</v>
      </c>
      <c r="AB89" s="2" t="n">
        <v>0</v>
      </c>
      <c r="AC89" t="inlineStr">
        <is>
          <t>NaN</t>
        </is>
      </c>
    </row>
    <row r="90">
      <c r="A90" s="7" t="inlineStr">
        <is>
          <t>Project</t>
        </is>
      </c>
      <c r="B90" s="7" t="inlineStr">
        <is>
          <t>battleship</t>
        </is>
      </c>
      <c r="C90" s="7" t="inlineStr">
        <is>
          <t>GameSummary</t>
        </is>
      </c>
      <c r="D90" t="inlineStr">
        <is>
          <t>totalOutsideShots()</t>
        </is>
      </c>
      <c r="E90" t="inlineStr">
        <is>
          <t>GameSummary.totalOutsideShots()</t>
        </is>
      </c>
      <c r="F90" s="8" t="n">
        <v>1</v>
      </c>
      <c r="G90" s="8" t="n">
        <v>0</v>
      </c>
      <c r="H90" s="8" t="n">
        <v>1</v>
      </c>
      <c r="I90" s="9">
        <f>IF(MAX($F$2:$F$194)=MIN($F$2:$F$194),0,(F90-MIN($F$2:$F$194))/(MAX($F$2:$F$194)-MIN($F$2:$F$194)))</f>
        <v/>
      </c>
      <c r="J90" s="9">
        <f>IF(MAX($G$2:$G$194)=MIN($G$2:$G$194),0,(G90-MIN($G$2:$G$194))/(MAX($G$2:$G$194)-MIN($G$2:$G$194)))</f>
        <v/>
      </c>
      <c r="K90" s="9">
        <f>IF(MAX($H$2:$H$194)=MIN($H$2:$H$194),0,(H90-MIN($H$2:$H$194))/(MAX($H$2:$H$194)-MIN($H$2:$H$194)))</f>
        <v/>
      </c>
      <c r="L90" s="9">
        <f>I90+J90+K90</f>
        <v/>
      </c>
      <c r="M90" s="2" t="n">
        <v>0</v>
      </c>
      <c r="N90" s="2" t="n">
        <v>0</v>
      </c>
      <c r="O90" s="2" t="n">
        <v>-1</v>
      </c>
      <c r="P90" s="2" t="n">
        <v>0</v>
      </c>
      <c r="Q90" s="2" t="n">
        <v>0</v>
      </c>
      <c r="R90" s="2" t="n">
        <v>0</v>
      </c>
      <c r="S90" s="2" t="n">
        <v>0</v>
      </c>
      <c r="T90" s="3" t="n">
        <v>0</v>
      </c>
      <c r="U90" s="2" t="n">
        <v>0</v>
      </c>
      <c r="V90" s="3" t="n">
        <v>0</v>
      </c>
      <c r="W90" t="inlineStr">
        <is>
          <t>∞</t>
        </is>
      </c>
      <c r="X90" s="3" t="n">
        <v>0</v>
      </c>
      <c r="Y90" t="inlineStr">
        <is>
          <t>NaN</t>
        </is>
      </c>
      <c r="Z90" t="inlineStr">
        <is>
          <t>NaN</t>
        </is>
      </c>
      <c r="AA90" s="2" t="n">
        <v>0</v>
      </c>
      <c r="AB90" s="2" t="n">
        <v>0</v>
      </c>
      <c r="AC90" t="inlineStr">
        <is>
          <t>NaN</t>
        </is>
      </c>
    </row>
    <row r="91">
      <c r="A91" s="7" t="inlineStr">
        <is>
          <t>Project</t>
        </is>
      </c>
      <c r="B91" s="7" t="inlineStr">
        <is>
          <t>battleship</t>
        </is>
      </c>
      <c r="C91" s="7" t="inlineStr">
        <is>
          <t>GameSummary</t>
        </is>
      </c>
      <c r="D91" t="inlineStr">
        <is>
          <t>totalRepeatedShots()</t>
        </is>
      </c>
      <c r="E91" t="inlineStr">
        <is>
          <t>GameSummary.totalRepeatedShots()</t>
        </is>
      </c>
      <c r="F91" s="8" t="n">
        <v>1</v>
      </c>
      <c r="G91" s="8" t="n">
        <v>0</v>
      </c>
      <c r="H91" s="8" t="n">
        <v>1</v>
      </c>
      <c r="I91" s="9">
        <f>IF(MAX($F$2:$F$194)=MIN($F$2:$F$194),0,(F91-MIN($F$2:$F$194))/(MAX($F$2:$F$194)-MIN($F$2:$F$194)))</f>
        <v/>
      </c>
      <c r="J91" s="9">
        <f>IF(MAX($G$2:$G$194)=MIN($G$2:$G$194),0,(G91-MIN($G$2:$G$194))/(MAX($G$2:$G$194)-MIN($G$2:$G$194)))</f>
        <v/>
      </c>
      <c r="K91" s="9">
        <f>IF(MAX($H$2:$H$194)=MIN($H$2:$H$194),0,(H91-MIN($H$2:$H$194))/(MAX($H$2:$H$194)-MIN($H$2:$H$194)))</f>
        <v/>
      </c>
      <c r="L91" s="9">
        <f>I91+J91+K91</f>
        <v/>
      </c>
      <c r="M91" s="2" t="n">
        <v>0</v>
      </c>
      <c r="N91" s="2" t="n">
        <v>0</v>
      </c>
      <c r="O91" s="2" t="n">
        <v>-1</v>
      </c>
      <c r="P91" s="2" t="n">
        <v>0</v>
      </c>
      <c r="Q91" s="2" t="n">
        <v>0</v>
      </c>
      <c r="R91" s="2" t="n">
        <v>0</v>
      </c>
      <c r="S91" s="2" t="n">
        <v>0</v>
      </c>
      <c r="T91" s="3" t="n">
        <v>0</v>
      </c>
      <c r="U91" s="2" t="n">
        <v>0</v>
      </c>
      <c r="V91" s="3" t="n">
        <v>0</v>
      </c>
      <c r="W91" t="inlineStr">
        <is>
          <t>∞</t>
        </is>
      </c>
      <c r="X91" s="3" t="n">
        <v>0</v>
      </c>
      <c r="Y91" t="inlineStr">
        <is>
          <t>NaN</t>
        </is>
      </c>
      <c r="Z91" t="inlineStr">
        <is>
          <t>NaN</t>
        </is>
      </c>
      <c r="AA91" s="2" t="n">
        <v>0</v>
      </c>
      <c r="AB91" s="2" t="n">
        <v>0</v>
      </c>
      <c r="AC91" t="inlineStr">
        <is>
          <t>NaN</t>
        </is>
      </c>
    </row>
    <row r="92">
      <c r="A92" s="7" t="inlineStr">
        <is>
          <t>Project</t>
        </is>
      </c>
      <c r="B92" s="7" t="inlineStr">
        <is>
          <t>battleship</t>
        </is>
      </c>
      <c r="C92" s="7" t="inlineStr">
        <is>
          <t>GameSummary</t>
        </is>
      </c>
      <c r="D92" t="inlineStr">
        <is>
          <t>totalShots()</t>
        </is>
      </c>
      <c r="E92" t="inlineStr">
        <is>
          <t>GameSummary.totalShots()</t>
        </is>
      </c>
      <c r="F92" s="8" t="n">
        <v>1</v>
      </c>
      <c r="G92" s="8" t="n">
        <v>0</v>
      </c>
      <c r="H92" s="8" t="n">
        <v>1</v>
      </c>
      <c r="I92" s="9">
        <f>IF(MAX($F$2:$F$194)=MIN($F$2:$F$194),0,(F92-MIN($F$2:$F$194))/(MAX($F$2:$F$194)-MIN($F$2:$F$194)))</f>
        <v/>
      </c>
      <c r="J92" s="9">
        <f>IF(MAX($G$2:$G$194)=MIN($G$2:$G$194),0,(G92-MIN($G$2:$G$194))/(MAX($G$2:$G$194)-MIN($G$2:$G$194)))</f>
        <v/>
      </c>
      <c r="K92" s="9">
        <f>IF(MAX($H$2:$H$194)=MIN($H$2:$H$194),0,(H92-MIN($H$2:$H$194))/(MAX($H$2:$H$194)-MIN($H$2:$H$194)))</f>
        <v/>
      </c>
      <c r="L92" s="9">
        <f>I92+J92+K92</f>
        <v/>
      </c>
      <c r="M92" s="2" t="n">
        <v>0</v>
      </c>
      <c r="N92" s="2" t="n">
        <v>0</v>
      </c>
      <c r="O92" s="2" t="n">
        <v>-1</v>
      </c>
      <c r="P92" s="2" t="n">
        <v>0</v>
      </c>
      <c r="Q92" s="2" t="n">
        <v>0</v>
      </c>
      <c r="R92" s="2" t="n">
        <v>0</v>
      </c>
      <c r="S92" s="2" t="n">
        <v>0</v>
      </c>
      <c r="T92" s="3" t="n">
        <v>0</v>
      </c>
      <c r="U92" s="2" t="n">
        <v>0</v>
      </c>
      <c r="V92" s="3" t="n">
        <v>0</v>
      </c>
      <c r="W92" t="inlineStr">
        <is>
          <t>∞</t>
        </is>
      </c>
      <c r="X92" s="3" t="n">
        <v>0</v>
      </c>
      <c r="Y92" t="inlineStr">
        <is>
          <t>NaN</t>
        </is>
      </c>
      <c r="Z92" t="inlineStr">
        <is>
          <t>NaN</t>
        </is>
      </c>
      <c r="AA92" s="2" t="n">
        <v>0</v>
      </c>
      <c r="AB92" s="2" t="n">
        <v>0</v>
      </c>
      <c r="AC92" t="inlineStr">
        <is>
          <t>NaN</t>
        </is>
      </c>
    </row>
    <row r="93">
      <c r="A93" s="7" t="inlineStr">
        <is>
          <t>Project</t>
        </is>
      </c>
      <c r="B93" s="7" t="inlineStr">
        <is>
          <t>battleship</t>
        </is>
      </c>
      <c r="C93" s="7" t="inlineStr">
        <is>
          <t>GameSummary</t>
        </is>
      </c>
      <c r="D93" t="inlineStr">
        <is>
          <t>totalSunkShips()</t>
        </is>
      </c>
      <c r="E93" t="inlineStr">
        <is>
          <t>GameSummary.totalSunkShips()</t>
        </is>
      </c>
      <c r="F93" s="8" t="n">
        <v>1</v>
      </c>
      <c r="G93" s="8" t="n">
        <v>0</v>
      </c>
      <c r="H93" s="8" t="n">
        <v>1</v>
      </c>
      <c r="I93" s="9">
        <f>IF(MAX($F$2:$F$194)=MIN($F$2:$F$194),0,(F93-MIN($F$2:$F$194))/(MAX($F$2:$F$194)-MIN($F$2:$F$194)))</f>
        <v/>
      </c>
      <c r="J93" s="9">
        <f>IF(MAX($G$2:$G$194)=MIN($G$2:$G$194),0,(G93-MIN($G$2:$G$194))/(MAX($G$2:$G$194)-MIN($G$2:$G$194)))</f>
        <v/>
      </c>
      <c r="K93" s="9">
        <f>IF(MAX($H$2:$H$194)=MIN($H$2:$H$194),0,(H93-MIN($H$2:$H$194))/(MAX($H$2:$H$194)-MIN($H$2:$H$194)))</f>
        <v/>
      </c>
      <c r="L93" s="9">
        <f>I93+J93+K93</f>
        <v/>
      </c>
      <c r="M93" s="2" t="n">
        <v>0</v>
      </c>
      <c r="N93" s="2" t="n">
        <v>0</v>
      </c>
      <c r="O93" s="2" t="n">
        <v>-1</v>
      </c>
      <c r="P93" s="2" t="n">
        <v>0</v>
      </c>
      <c r="Q93" s="2" t="n">
        <v>0</v>
      </c>
      <c r="R93" s="2" t="n">
        <v>0</v>
      </c>
      <c r="S93" s="2" t="n">
        <v>0</v>
      </c>
      <c r="T93" s="3" t="n">
        <v>0</v>
      </c>
      <c r="U93" s="2" t="n">
        <v>0</v>
      </c>
      <c r="V93" s="3" t="n">
        <v>0</v>
      </c>
      <c r="W93" t="inlineStr">
        <is>
          <t>∞</t>
        </is>
      </c>
      <c r="X93" s="3" t="n">
        <v>0</v>
      </c>
      <c r="Y93" t="inlineStr">
        <is>
          <t>NaN</t>
        </is>
      </c>
      <c r="Z93" t="inlineStr">
        <is>
          <t>NaN</t>
        </is>
      </c>
      <c r="AA93" s="2" t="n">
        <v>0</v>
      </c>
      <c r="AB93" s="2" t="n">
        <v>0</v>
      </c>
      <c r="AC93" t="inlineStr">
        <is>
          <t>NaN</t>
        </is>
      </c>
    </row>
    <row r="94">
      <c r="A94" s="7" t="inlineStr">
        <is>
          <t>Project</t>
        </is>
      </c>
      <c r="B94" s="7" t="inlineStr">
        <is>
          <t>battleship</t>
        </is>
      </c>
      <c r="C94" s="7" t="inlineStr">
        <is>
          <t>IFleet</t>
        </is>
      </c>
      <c r="D94" t="inlineStr">
        <is>
          <t>addShip(IShip)</t>
        </is>
      </c>
      <c r="E94" t="inlineStr">
        <is>
          <t>IFleet.addShip(IShip)</t>
        </is>
      </c>
      <c r="F94" s="8" t="n">
        <v>1</v>
      </c>
      <c r="G94" s="8" t="n">
        <v>1</v>
      </c>
      <c r="H94" s="8" t="n">
        <v>0</v>
      </c>
      <c r="I94" s="9">
        <f>IF(MAX($F$2:$F$194)=MIN($F$2:$F$194),0,(F94-MIN($F$2:$F$194))/(MAX($F$2:$F$194)-MIN($F$2:$F$194)))</f>
        <v/>
      </c>
      <c r="J94" s="9">
        <f>IF(MAX($G$2:$G$194)=MIN($G$2:$G$194),0,(G94-MIN($G$2:$G$194))/(MAX($G$2:$G$194)-MIN($G$2:$G$194)))</f>
        <v/>
      </c>
      <c r="K94" s="9">
        <f>IF(MAX($H$2:$H$194)=MIN($H$2:$H$194),0,(H94-MIN($H$2:$H$194))/(MAX($H$2:$H$194)-MIN($H$2:$H$194)))</f>
        <v/>
      </c>
      <c r="L94" s="9">
        <f>I94+J94+K94</f>
        <v/>
      </c>
      <c r="M94" s="2" t="n">
        <v>0</v>
      </c>
      <c r="N94" s="2" t="n">
        <v>0</v>
      </c>
      <c r="P94" s="2" t="n">
        <v>1</v>
      </c>
      <c r="Q94" s="2" t="n">
        <v>4</v>
      </c>
      <c r="S94" s="2" t="n">
        <v>0</v>
      </c>
      <c r="T94" s="3" t="n">
        <v>0</v>
      </c>
      <c r="U94" s="2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2" t="n">
        <v>1</v>
      </c>
      <c r="AB94" s="2" t="n">
        <v>1</v>
      </c>
      <c r="AC94" s="3" t="n">
        <v>0</v>
      </c>
    </row>
    <row r="95">
      <c r="A95" s="7" t="inlineStr">
        <is>
          <t>Project</t>
        </is>
      </c>
      <c r="B95" s="7" t="inlineStr">
        <is>
          <t>battleship</t>
        </is>
      </c>
      <c r="C95" s="7" t="inlineStr">
        <is>
          <t>IFleet</t>
        </is>
      </c>
      <c r="D95" t="inlineStr">
        <is>
          <t>getFloatingShips()</t>
        </is>
      </c>
      <c r="E95" t="inlineStr">
        <is>
          <t>IFleet.getFloatingShips()</t>
        </is>
      </c>
      <c r="F95" s="8" t="n">
        <v>1</v>
      </c>
      <c r="G95" s="8" t="n">
        <v>0</v>
      </c>
      <c r="H95" s="8" t="n">
        <v>0</v>
      </c>
      <c r="I95" s="9">
        <f>IF(MAX($F$2:$F$194)=MIN($F$2:$F$194),0,(F95-MIN($F$2:$F$194))/(MAX($F$2:$F$194)-MIN($F$2:$F$194)))</f>
        <v/>
      </c>
      <c r="J95" s="9">
        <f>IF(MAX($G$2:$G$194)=MIN($G$2:$G$194),0,(G95-MIN($G$2:$G$194))/(MAX($G$2:$G$194)-MIN($G$2:$G$194)))</f>
        <v/>
      </c>
      <c r="K95" s="9">
        <f>IF(MAX($H$2:$H$194)=MIN($H$2:$H$194),0,(H95-MIN($H$2:$H$194))/(MAX($H$2:$H$194)-MIN($H$2:$H$194)))</f>
        <v/>
      </c>
      <c r="L95" s="9">
        <f>I95+J95+K95</f>
        <v/>
      </c>
      <c r="M95" s="2" t="n">
        <v>0</v>
      </c>
      <c r="N95" s="2" t="n">
        <v>0</v>
      </c>
      <c r="P95" s="2" t="n">
        <v>1</v>
      </c>
      <c r="Q95" s="2" t="n">
        <v>4</v>
      </c>
      <c r="S95" s="2" t="n">
        <v>0</v>
      </c>
      <c r="T95" s="3" t="n">
        <v>0</v>
      </c>
      <c r="U95" s="2" t="n">
        <v>0</v>
      </c>
      <c r="V95" s="3" t="n">
        <v>0</v>
      </c>
      <c r="W95" s="3" t="n">
        <v>0</v>
      </c>
      <c r="X95" s="3" t="n">
        <v>0</v>
      </c>
      <c r="Y95" t="inlineStr">
        <is>
          <t>NaN</t>
        </is>
      </c>
      <c r="Z95" t="inlineStr">
        <is>
          <t>NaN</t>
        </is>
      </c>
      <c r="AA95" s="2" t="n">
        <v>0</v>
      </c>
      <c r="AB95" s="2" t="n">
        <v>0</v>
      </c>
      <c r="AC95" t="inlineStr">
        <is>
          <t>NaN</t>
        </is>
      </c>
    </row>
    <row r="96">
      <c r="A96" s="7" t="inlineStr">
        <is>
          <t>Project</t>
        </is>
      </c>
      <c r="B96" s="7" t="inlineStr">
        <is>
          <t>battleship</t>
        </is>
      </c>
      <c r="C96" s="7" t="inlineStr">
        <is>
          <t>IFleet</t>
        </is>
      </c>
      <c r="D96" t="inlineStr">
        <is>
          <t>getShips()</t>
        </is>
      </c>
      <c r="E96" t="inlineStr">
        <is>
          <t>IFleet.getShips()</t>
        </is>
      </c>
      <c r="F96" s="8" t="n">
        <v>1</v>
      </c>
      <c r="G96" s="8" t="n">
        <v>0</v>
      </c>
      <c r="H96" s="8" t="n">
        <v>0</v>
      </c>
      <c r="I96" s="9">
        <f>IF(MAX($F$2:$F$194)=MIN($F$2:$F$194),0,(F96-MIN($F$2:$F$194))/(MAX($F$2:$F$194)-MIN($F$2:$F$194)))</f>
        <v/>
      </c>
      <c r="J96" s="9">
        <f>IF(MAX($G$2:$G$194)=MIN($G$2:$G$194),0,(G96-MIN($G$2:$G$194))/(MAX($G$2:$G$194)-MIN($G$2:$G$194)))</f>
        <v/>
      </c>
      <c r="K96" s="9">
        <f>IF(MAX($H$2:$H$194)=MIN($H$2:$H$194),0,(H96-MIN($H$2:$H$194))/(MAX($H$2:$H$194)-MIN($H$2:$H$194)))</f>
        <v/>
      </c>
      <c r="L96" s="9">
        <f>I96+J96+K96</f>
        <v/>
      </c>
      <c r="M96" s="2" t="n">
        <v>0</v>
      </c>
      <c r="N96" s="2" t="n">
        <v>0</v>
      </c>
      <c r="P96" s="2" t="n">
        <v>1</v>
      </c>
      <c r="Q96" s="2" t="n">
        <v>4</v>
      </c>
      <c r="S96" s="2" t="n">
        <v>0</v>
      </c>
      <c r="T96" s="3" t="n">
        <v>0</v>
      </c>
      <c r="U96" s="2" t="n">
        <v>0</v>
      </c>
      <c r="V96" s="3" t="n">
        <v>0</v>
      </c>
      <c r="W96" s="3" t="n">
        <v>0</v>
      </c>
      <c r="X96" s="3" t="n">
        <v>0</v>
      </c>
      <c r="Y96" t="inlineStr">
        <is>
          <t>NaN</t>
        </is>
      </c>
      <c r="Z96" t="inlineStr">
        <is>
          <t>NaN</t>
        </is>
      </c>
      <c r="AA96" s="2" t="n">
        <v>0</v>
      </c>
      <c r="AB96" s="2" t="n">
        <v>0</v>
      </c>
      <c r="AC96" t="inlineStr">
        <is>
          <t>NaN</t>
        </is>
      </c>
    </row>
    <row r="97">
      <c r="A97" s="7" t="inlineStr">
        <is>
          <t>Project</t>
        </is>
      </c>
      <c r="B97" s="7" t="inlineStr">
        <is>
          <t>battleship</t>
        </is>
      </c>
      <c r="C97" s="7" t="inlineStr">
        <is>
          <t>IFleet</t>
        </is>
      </c>
      <c r="D97" t="inlineStr">
        <is>
          <t>getShipsLike(String)</t>
        </is>
      </c>
      <c r="E97" t="inlineStr">
        <is>
          <t>IFleet.getShipsLike(String)</t>
        </is>
      </c>
      <c r="F97" s="8" t="n">
        <v>1</v>
      </c>
      <c r="G97" s="8" t="n">
        <v>1</v>
      </c>
      <c r="H97" s="8" t="n">
        <v>0</v>
      </c>
      <c r="I97" s="9">
        <f>IF(MAX($F$2:$F$194)=MIN($F$2:$F$194),0,(F97-MIN($F$2:$F$194))/(MAX($F$2:$F$194)-MIN($F$2:$F$194)))</f>
        <v/>
      </c>
      <c r="J97" s="9">
        <f>IF(MAX($G$2:$G$194)=MIN($G$2:$G$194),0,(G97-MIN($G$2:$G$194))/(MAX($G$2:$G$194)-MIN($G$2:$G$194)))</f>
        <v/>
      </c>
      <c r="K97" s="9">
        <f>IF(MAX($H$2:$H$194)=MIN($H$2:$H$194),0,(H97-MIN($H$2:$H$194))/(MAX($H$2:$H$194)-MIN($H$2:$H$194)))</f>
        <v/>
      </c>
      <c r="L97" s="9">
        <f>I97+J97+K97</f>
        <v/>
      </c>
      <c r="M97" s="2" t="n">
        <v>0</v>
      </c>
      <c r="N97" s="2" t="n">
        <v>0</v>
      </c>
      <c r="P97" s="2" t="n">
        <v>1</v>
      </c>
      <c r="Q97" s="2" t="n">
        <v>4</v>
      </c>
      <c r="S97" s="2" t="n">
        <v>0</v>
      </c>
      <c r="T97" s="3" t="n">
        <v>0</v>
      </c>
      <c r="U97" s="2" t="n">
        <v>0</v>
      </c>
      <c r="V97" s="3" t="n">
        <v>0</v>
      </c>
      <c r="W97" s="3" t="n">
        <v>0</v>
      </c>
      <c r="X97" s="3" t="n">
        <v>0</v>
      </c>
      <c r="Y97" t="inlineStr">
        <is>
          <t>NaN</t>
        </is>
      </c>
      <c r="Z97" t="inlineStr">
        <is>
          <t>NaN</t>
        </is>
      </c>
      <c r="AA97" s="2" t="n">
        <v>0</v>
      </c>
      <c r="AB97" s="2" t="n">
        <v>0</v>
      </c>
      <c r="AC97" t="inlineStr">
        <is>
          <t>NaN</t>
        </is>
      </c>
    </row>
    <row r="98">
      <c r="A98" s="7" t="inlineStr">
        <is>
          <t>Project</t>
        </is>
      </c>
      <c r="B98" s="7" t="inlineStr">
        <is>
          <t>battleship</t>
        </is>
      </c>
      <c r="C98" s="7" t="inlineStr">
        <is>
          <t>IFleet</t>
        </is>
      </c>
      <c r="D98" t="inlineStr">
        <is>
          <t>getSunkShips()</t>
        </is>
      </c>
      <c r="E98" t="inlineStr">
        <is>
          <t>IFleet.getSunkShips()</t>
        </is>
      </c>
      <c r="F98" s="8" t="n">
        <v>1</v>
      </c>
      <c r="G98" s="8" t="n">
        <v>0</v>
      </c>
      <c r="H98" s="8" t="n">
        <v>0</v>
      </c>
      <c r="I98" s="9">
        <f>IF(MAX($F$2:$F$194)=MIN($F$2:$F$194),0,(F98-MIN($F$2:$F$194))/(MAX($F$2:$F$194)-MIN($F$2:$F$194)))</f>
        <v/>
      </c>
      <c r="J98" s="9">
        <f>IF(MAX($G$2:$G$194)=MIN($G$2:$G$194),0,(G98-MIN($G$2:$G$194))/(MAX($G$2:$G$194)-MIN($G$2:$G$194)))</f>
        <v/>
      </c>
      <c r="K98" s="9">
        <f>IF(MAX($H$2:$H$194)=MIN($H$2:$H$194),0,(H98-MIN($H$2:$H$194))/(MAX($H$2:$H$194)-MIN($H$2:$H$194)))</f>
        <v/>
      </c>
      <c r="L98" s="9">
        <f>I98+J98+K98</f>
        <v/>
      </c>
      <c r="M98" s="2" t="n">
        <v>0</v>
      </c>
      <c r="N98" s="2" t="n">
        <v>0</v>
      </c>
      <c r="P98" s="2" t="n">
        <v>1</v>
      </c>
      <c r="Q98" s="2" t="n">
        <v>4</v>
      </c>
      <c r="S98" s="2" t="n">
        <v>0</v>
      </c>
      <c r="T98" s="3" t="n">
        <v>0</v>
      </c>
      <c r="U98" s="2" t="n">
        <v>0</v>
      </c>
      <c r="V98" s="3" t="n">
        <v>0</v>
      </c>
      <c r="W98" s="3" t="n">
        <v>0</v>
      </c>
      <c r="X98" s="3" t="n">
        <v>0</v>
      </c>
      <c r="Y98" t="inlineStr">
        <is>
          <t>NaN</t>
        </is>
      </c>
      <c r="Z98" t="inlineStr">
        <is>
          <t>NaN</t>
        </is>
      </c>
      <c r="AA98" s="2" t="n">
        <v>0</v>
      </c>
      <c r="AB98" s="2" t="n">
        <v>0</v>
      </c>
      <c r="AC98" t="inlineStr">
        <is>
          <t>NaN</t>
        </is>
      </c>
    </row>
    <row r="99">
      <c r="A99" s="7" t="inlineStr">
        <is>
          <t>Project</t>
        </is>
      </c>
      <c r="B99" s="7" t="inlineStr">
        <is>
          <t>battleship</t>
        </is>
      </c>
      <c r="C99" s="7" t="inlineStr">
        <is>
          <t>IFleet</t>
        </is>
      </c>
      <c r="D99" t="inlineStr">
        <is>
          <t>printStatus()</t>
        </is>
      </c>
      <c r="E99" t="inlineStr">
        <is>
          <t>IFleet.printStatus()</t>
        </is>
      </c>
      <c r="F99" s="8" t="n">
        <v>1</v>
      </c>
      <c r="G99" s="8" t="n">
        <v>0</v>
      </c>
      <c r="H99" s="8" t="n">
        <v>0</v>
      </c>
      <c r="I99" s="9">
        <f>IF(MAX($F$2:$F$194)=MIN($F$2:$F$194),0,(F99-MIN($F$2:$F$194))/(MAX($F$2:$F$194)-MIN($F$2:$F$194)))</f>
        <v/>
      </c>
      <c r="J99" s="9">
        <f>IF(MAX($G$2:$G$194)=MIN($G$2:$G$194),0,(G99-MIN($G$2:$G$194))/(MAX($G$2:$G$194)-MIN($G$2:$G$194)))</f>
        <v/>
      </c>
      <c r="K99" s="9">
        <f>IF(MAX($H$2:$H$194)=MIN($H$2:$H$194),0,(H99-MIN($H$2:$H$194))/(MAX($H$2:$H$194)-MIN($H$2:$H$194)))</f>
        <v/>
      </c>
      <c r="L99" s="9">
        <f>I99+J99+K99</f>
        <v/>
      </c>
      <c r="M99" s="2" t="n">
        <v>0</v>
      </c>
      <c r="N99" s="2" t="n">
        <v>0</v>
      </c>
      <c r="P99" s="2" t="n">
        <v>1</v>
      </c>
      <c r="Q99" s="2" t="n">
        <v>4</v>
      </c>
      <c r="S99" s="2" t="n">
        <v>0</v>
      </c>
      <c r="T99" s="3" t="n">
        <v>0</v>
      </c>
      <c r="U99" s="2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2" t="n">
        <v>1</v>
      </c>
      <c r="AB99" s="2" t="n">
        <v>1</v>
      </c>
      <c r="AC99" s="3" t="n">
        <v>0</v>
      </c>
    </row>
    <row r="100">
      <c r="A100" s="7" t="inlineStr">
        <is>
          <t>Project</t>
        </is>
      </c>
      <c r="B100" s="7" t="inlineStr">
        <is>
          <t>battleship</t>
        </is>
      </c>
      <c r="C100" s="7" t="inlineStr">
        <is>
          <t>IFleet</t>
        </is>
      </c>
      <c r="D100" t="inlineStr">
        <is>
          <t>shipAt(IPosition)</t>
        </is>
      </c>
      <c r="E100" t="inlineStr">
        <is>
          <t>IFleet.shipAt(IPosition)</t>
        </is>
      </c>
      <c r="F100" s="8" t="n">
        <v>1</v>
      </c>
      <c r="G100" s="8" t="n">
        <v>1</v>
      </c>
      <c r="H100" s="8" t="n">
        <v>0</v>
      </c>
      <c r="I100" s="9">
        <f>IF(MAX($F$2:$F$194)=MIN($F$2:$F$194),0,(F100-MIN($F$2:$F$194))/(MAX($F$2:$F$194)-MIN($F$2:$F$194)))</f>
        <v/>
      </c>
      <c r="J100" s="9">
        <f>IF(MAX($G$2:$G$194)=MIN($G$2:$G$194),0,(G100-MIN($G$2:$G$194))/(MAX($G$2:$G$194)-MIN($G$2:$G$194)))</f>
        <v/>
      </c>
      <c r="K100" s="9">
        <f>IF(MAX($H$2:$H$194)=MIN($H$2:$H$194),0,(H100-MIN($H$2:$H$194))/(MAX($H$2:$H$194)-MIN($H$2:$H$194)))</f>
        <v/>
      </c>
      <c r="L100" s="9">
        <f>I100+J100+K100</f>
        <v/>
      </c>
      <c r="M100" s="2" t="n">
        <v>0</v>
      </c>
      <c r="N100" s="2" t="n">
        <v>0</v>
      </c>
      <c r="P100" s="2" t="n">
        <v>1</v>
      </c>
      <c r="Q100" s="2" t="n">
        <v>4</v>
      </c>
      <c r="S100" s="2" t="n">
        <v>0</v>
      </c>
      <c r="T100" s="3" t="n">
        <v>0</v>
      </c>
      <c r="U100" s="2" t="n">
        <v>0</v>
      </c>
      <c r="V100" s="3" t="n">
        <v>0</v>
      </c>
      <c r="W100" s="3" t="n">
        <v>0</v>
      </c>
      <c r="X100" s="3" t="n">
        <v>0</v>
      </c>
      <c r="Y100" t="inlineStr">
        <is>
          <t>NaN</t>
        </is>
      </c>
      <c r="Z100" t="inlineStr">
        <is>
          <t>NaN</t>
        </is>
      </c>
      <c r="AA100" s="2" t="n">
        <v>0</v>
      </c>
      <c r="AB100" s="2" t="n">
        <v>0</v>
      </c>
      <c r="AC100" t="inlineStr">
        <is>
          <t>NaN</t>
        </is>
      </c>
    </row>
    <row r="101">
      <c r="A101" s="7" t="inlineStr">
        <is>
          <t>Project</t>
        </is>
      </c>
      <c r="B101" s="7" t="inlineStr">
        <is>
          <t>battleship</t>
        </is>
      </c>
      <c r="C101" s="7" t="inlineStr">
        <is>
          <t>IGame</t>
        </is>
      </c>
      <c r="D101" t="inlineStr">
        <is>
          <t>fireShots(List&lt;IPosition&gt;)</t>
        </is>
      </c>
      <c r="E101" t="inlineStr">
        <is>
          <t>IGame.fireShots(List&lt;IPosition&gt;)</t>
        </is>
      </c>
      <c r="F101" s="8" t="n">
        <v>1</v>
      </c>
      <c r="G101" s="8" t="n">
        <v>1</v>
      </c>
      <c r="H101" s="8" t="n">
        <v>0</v>
      </c>
      <c r="I101" s="9">
        <f>IF(MAX($F$2:$F$194)=MIN($F$2:$F$194),0,(F101-MIN($F$2:$F$194))/(MAX($F$2:$F$194)-MIN($F$2:$F$194)))</f>
        <v/>
      </c>
      <c r="J101" s="9">
        <f>IF(MAX($G$2:$G$194)=MIN($G$2:$G$194),0,(G101-MIN($G$2:$G$194))/(MAX($G$2:$G$194)-MIN($G$2:$G$194)))</f>
        <v/>
      </c>
      <c r="K101" s="9">
        <f>IF(MAX($H$2:$H$194)=MIN($H$2:$H$194),0,(H101-MIN($H$2:$H$194))/(MAX($H$2:$H$194)-MIN($H$2:$H$194)))</f>
        <v/>
      </c>
      <c r="L101" s="9">
        <f>I101+J101+K101</f>
        <v/>
      </c>
      <c r="M101" s="2" t="n">
        <v>0</v>
      </c>
      <c r="N101" s="2" t="n">
        <v>0</v>
      </c>
      <c r="P101" s="2" t="n">
        <v>0</v>
      </c>
      <c r="Q101" s="2" t="n">
        <v>0</v>
      </c>
      <c r="S101" s="2" t="n">
        <v>0</v>
      </c>
      <c r="T101" s="3" t="n">
        <v>0</v>
      </c>
      <c r="U101" s="2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2" t="n">
        <v>1</v>
      </c>
      <c r="AB101" s="2" t="n">
        <v>1</v>
      </c>
      <c r="AC101" s="3" t="n">
        <v>0</v>
      </c>
    </row>
    <row r="102">
      <c r="A102" s="7" t="inlineStr">
        <is>
          <t>Project</t>
        </is>
      </c>
      <c r="B102" s="7" t="inlineStr">
        <is>
          <t>battleship</t>
        </is>
      </c>
      <c r="C102" s="7" t="inlineStr">
        <is>
          <t>IGame</t>
        </is>
      </c>
      <c r="D102" t="inlineStr">
        <is>
          <t>fireSingleShot(IPosition, boolean)</t>
        </is>
      </c>
      <c r="E102" t="inlineStr">
        <is>
          <t>IGame.fireSingleShot(IPosition, boolean)</t>
        </is>
      </c>
      <c r="F102" s="8" t="n">
        <v>1</v>
      </c>
      <c r="G102" s="8" t="n">
        <v>2</v>
      </c>
      <c r="H102" s="8" t="n">
        <v>0</v>
      </c>
      <c r="I102" s="9">
        <f>IF(MAX($F$2:$F$194)=MIN($F$2:$F$194),0,(F102-MIN($F$2:$F$194))/(MAX($F$2:$F$194)-MIN($F$2:$F$194)))</f>
        <v/>
      </c>
      <c r="J102" s="9">
        <f>IF(MAX($G$2:$G$194)=MIN($G$2:$G$194),0,(G102-MIN($G$2:$G$194))/(MAX($G$2:$G$194)-MIN($G$2:$G$194)))</f>
        <v/>
      </c>
      <c r="K102" s="9">
        <f>IF(MAX($H$2:$H$194)=MIN($H$2:$H$194),0,(H102-MIN($H$2:$H$194))/(MAX($H$2:$H$194)-MIN($H$2:$H$194)))</f>
        <v/>
      </c>
      <c r="L102" s="9">
        <f>I102+J102+K102</f>
        <v/>
      </c>
      <c r="M102" s="2" t="n">
        <v>0</v>
      </c>
      <c r="N102" s="2" t="n">
        <v>0</v>
      </c>
      <c r="P102" s="2" t="n">
        <v>0</v>
      </c>
      <c r="Q102" s="2" t="n">
        <v>0</v>
      </c>
      <c r="S102" s="2" t="n">
        <v>0</v>
      </c>
      <c r="T102" s="3" t="n">
        <v>0</v>
      </c>
      <c r="U102" s="2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2" t="n">
        <v>1</v>
      </c>
      <c r="AB102" s="2" t="n">
        <v>1</v>
      </c>
      <c r="AC102" s="3" t="n">
        <v>0</v>
      </c>
    </row>
    <row r="103">
      <c r="A103" s="7" t="inlineStr">
        <is>
          <t>Project</t>
        </is>
      </c>
      <c r="B103" s="7" t="inlineStr">
        <is>
          <t>battleship</t>
        </is>
      </c>
      <c r="C103" s="7" t="inlineStr">
        <is>
          <t>IGame</t>
        </is>
      </c>
      <c r="D103" t="inlineStr">
        <is>
          <t>getAlienFleet()</t>
        </is>
      </c>
      <c r="E103" t="inlineStr">
        <is>
          <t>IGame.getAlienFleet()</t>
        </is>
      </c>
      <c r="F103" s="8" t="n">
        <v>1</v>
      </c>
      <c r="G103" s="8" t="n">
        <v>0</v>
      </c>
      <c r="H103" s="8" t="n">
        <v>0</v>
      </c>
      <c r="I103" s="9">
        <f>IF(MAX($F$2:$F$194)=MIN($F$2:$F$194),0,(F103-MIN($F$2:$F$194))/(MAX($F$2:$F$194)-MIN($F$2:$F$194)))</f>
        <v/>
      </c>
      <c r="J103" s="9">
        <f>IF(MAX($G$2:$G$194)=MIN($G$2:$G$194),0,(G103-MIN($G$2:$G$194))/(MAX($G$2:$G$194)-MIN($G$2:$G$194)))</f>
        <v/>
      </c>
      <c r="K103" s="9">
        <f>IF(MAX($H$2:$H$194)=MIN($H$2:$H$194),0,(H103-MIN($H$2:$H$194))/(MAX($H$2:$H$194)-MIN($H$2:$H$194)))</f>
        <v/>
      </c>
      <c r="L103" s="9">
        <f>I103+J103+K103</f>
        <v/>
      </c>
      <c r="M103" s="2" t="n">
        <v>0</v>
      </c>
      <c r="N103" s="2" t="n">
        <v>0</v>
      </c>
      <c r="P103" s="2" t="n">
        <v>0</v>
      </c>
      <c r="Q103" s="2" t="n">
        <v>0</v>
      </c>
      <c r="S103" s="2" t="n">
        <v>0</v>
      </c>
      <c r="T103" s="3" t="n">
        <v>0</v>
      </c>
      <c r="U103" s="2" t="n">
        <v>0</v>
      </c>
      <c r="V103" s="3" t="n">
        <v>0</v>
      </c>
      <c r="W103" s="3" t="n">
        <v>0</v>
      </c>
      <c r="X103" s="3" t="n">
        <v>0</v>
      </c>
      <c r="Y103" t="inlineStr">
        <is>
          <t>NaN</t>
        </is>
      </c>
      <c r="Z103" t="inlineStr">
        <is>
          <t>NaN</t>
        </is>
      </c>
      <c r="AA103" s="2" t="n">
        <v>0</v>
      </c>
      <c r="AB103" s="2" t="n">
        <v>0</v>
      </c>
      <c r="AC103" t="inlineStr">
        <is>
          <t>NaN</t>
        </is>
      </c>
    </row>
    <row r="104">
      <c r="A104" s="7" t="inlineStr">
        <is>
          <t>Project</t>
        </is>
      </c>
      <c r="B104" s="7" t="inlineStr">
        <is>
          <t>battleship</t>
        </is>
      </c>
      <c r="C104" s="7" t="inlineStr">
        <is>
          <t>IGame</t>
        </is>
      </c>
      <c r="D104" t="inlineStr">
        <is>
          <t>getAlienMoves()</t>
        </is>
      </c>
      <c r="E104" t="inlineStr">
        <is>
          <t>IGame.getAlienMoves()</t>
        </is>
      </c>
      <c r="F104" s="8" t="n">
        <v>1</v>
      </c>
      <c r="G104" s="8" t="n">
        <v>0</v>
      </c>
      <c r="H104" s="8" t="n">
        <v>0</v>
      </c>
      <c r="I104" s="9">
        <f>IF(MAX($F$2:$F$194)=MIN($F$2:$F$194),0,(F104-MIN($F$2:$F$194))/(MAX($F$2:$F$194)-MIN($F$2:$F$194)))</f>
        <v/>
      </c>
      <c r="J104" s="9">
        <f>IF(MAX($G$2:$G$194)=MIN($G$2:$G$194),0,(G104-MIN($G$2:$G$194))/(MAX($G$2:$G$194)-MIN($G$2:$G$194)))</f>
        <v/>
      </c>
      <c r="K104" s="9">
        <f>IF(MAX($H$2:$H$194)=MIN($H$2:$H$194),0,(H104-MIN($H$2:$H$194))/(MAX($H$2:$H$194)-MIN($H$2:$H$194)))</f>
        <v/>
      </c>
      <c r="L104" s="9">
        <f>I104+J104+K104</f>
        <v/>
      </c>
      <c r="M104" s="2" t="n">
        <v>0</v>
      </c>
      <c r="N104" s="2" t="n">
        <v>0</v>
      </c>
      <c r="P104" s="2" t="n">
        <v>0</v>
      </c>
      <c r="Q104" s="2" t="n">
        <v>0</v>
      </c>
      <c r="S104" s="2" t="n">
        <v>0</v>
      </c>
      <c r="T104" s="3" t="n">
        <v>0</v>
      </c>
      <c r="U104" s="2" t="n">
        <v>0</v>
      </c>
      <c r="V104" s="3" t="n">
        <v>0</v>
      </c>
      <c r="W104" s="3" t="n">
        <v>0</v>
      </c>
      <c r="X104" s="3" t="n">
        <v>0</v>
      </c>
      <c r="Y104" t="inlineStr">
        <is>
          <t>NaN</t>
        </is>
      </c>
      <c r="Z104" t="inlineStr">
        <is>
          <t>NaN</t>
        </is>
      </c>
      <c r="AA104" s="2" t="n">
        <v>0</v>
      </c>
      <c r="AB104" s="2" t="n">
        <v>0</v>
      </c>
      <c r="AC104" t="inlineStr">
        <is>
          <t>NaN</t>
        </is>
      </c>
    </row>
    <row r="105">
      <c r="A105" s="7" t="inlineStr">
        <is>
          <t>Project</t>
        </is>
      </c>
      <c r="B105" s="7" t="inlineStr">
        <is>
          <t>battleship</t>
        </is>
      </c>
      <c r="C105" s="7" t="inlineStr">
        <is>
          <t>IGame</t>
        </is>
      </c>
      <c r="D105" t="inlineStr">
        <is>
          <t>getHits()</t>
        </is>
      </c>
      <c r="E105" t="inlineStr">
        <is>
          <t>IGame.getHits()</t>
        </is>
      </c>
      <c r="F105" s="8" t="n">
        <v>1</v>
      </c>
      <c r="G105" s="8" t="n">
        <v>0</v>
      </c>
      <c r="H105" s="8" t="n">
        <v>0</v>
      </c>
      <c r="I105" s="9">
        <f>IF(MAX($F$2:$F$194)=MIN($F$2:$F$194),0,(F105-MIN($F$2:$F$194))/(MAX($F$2:$F$194)-MIN($F$2:$F$194)))</f>
        <v/>
      </c>
      <c r="J105" s="9">
        <f>IF(MAX($G$2:$G$194)=MIN($G$2:$G$194),0,(G105-MIN($G$2:$G$194))/(MAX($G$2:$G$194)-MIN($G$2:$G$194)))</f>
        <v/>
      </c>
      <c r="K105" s="9">
        <f>IF(MAX($H$2:$H$194)=MIN($H$2:$H$194),0,(H105-MIN($H$2:$H$194))/(MAX($H$2:$H$194)-MIN($H$2:$H$194)))</f>
        <v/>
      </c>
      <c r="L105" s="9">
        <f>I105+J105+K105</f>
        <v/>
      </c>
      <c r="M105" s="2" t="n">
        <v>0</v>
      </c>
      <c r="N105" s="2" t="n">
        <v>0</v>
      </c>
      <c r="P105" s="2" t="n">
        <v>0</v>
      </c>
      <c r="Q105" s="2" t="n">
        <v>0</v>
      </c>
      <c r="S105" s="2" t="n">
        <v>0</v>
      </c>
      <c r="T105" s="3" t="n">
        <v>0</v>
      </c>
      <c r="U105" s="2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2" t="n">
        <v>1</v>
      </c>
      <c r="AB105" s="2" t="n">
        <v>1</v>
      </c>
      <c r="AC105" s="3" t="n">
        <v>0</v>
      </c>
    </row>
    <row r="106">
      <c r="A106" s="7" t="inlineStr">
        <is>
          <t>Project</t>
        </is>
      </c>
      <c r="B106" s="7" t="inlineStr">
        <is>
          <t>battleship</t>
        </is>
      </c>
      <c r="C106" s="7" t="inlineStr">
        <is>
          <t>IGame</t>
        </is>
      </c>
      <c r="D106" t="inlineStr">
        <is>
          <t>getInvalidShots()</t>
        </is>
      </c>
      <c r="E106" t="inlineStr">
        <is>
          <t>IGame.getInvalidShots()</t>
        </is>
      </c>
      <c r="F106" s="8" t="n">
        <v>1</v>
      </c>
      <c r="G106" s="8" t="n">
        <v>0</v>
      </c>
      <c r="H106" s="8" t="n">
        <v>0</v>
      </c>
      <c r="I106" s="9">
        <f>IF(MAX($F$2:$F$194)=MIN($F$2:$F$194),0,(F106-MIN($F$2:$F$194))/(MAX($F$2:$F$194)-MIN($F$2:$F$194)))</f>
        <v/>
      </c>
      <c r="J106" s="9">
        <f>IF(MAX($G$2:$G$194)=MIN($G$2:$G$194),0,(G106-MIN($G$2:$G$194))/(MAX($G$2:$G$194)-MIN($G$2:$G$194)))</f>
        <v/>
      </c>
      <c r="K106" s="9">
        <f>IF(MAX($H$2:$H$194)=MIN($H$2:$H$194),0,(H106-MIN($H$2:$H$194))/(MAX($H$2:$H$194)-MIN($H$2:$H$194)))</f>
        <v/>
      </c>
      <c r="L106" s="9">
        <f>I106+J106+K106</f>
        <v/>
      </c>
      <c r="M106" s="2" t="n">
        <v>0</v>
      </c>
      <c r="N106" s="2" t="n">
        <v>0</v>
      </c>
      <c r="P106" s="2" t="n">
        <v>0</v>
      </c>
      <c r="Q106" s="2" t="n">
        <v>0</v>
      </c>
      <c r="S106" s="2" t="n">
        <v>0</v>
      </c>
      <c r="T106" s="3" t="n">
        <v>0</v>
      </c>
      <c r="U106" s="2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2" t="n">
        <v>1</v>
      </c>
      <c r="AB106" s="2" t="n">
        <v>1</v>
      </c>
      <c r="AC106" s="3" t="n">
        <v>0</v>
      </c>
    </row>
    <row r="107">
      <c r="A107" s="7" t="inlineStr">
        <is>
          <t>Project</t>
        </is>
      </c>
      <c r="B107" s="7" t="inlineStr">
        <is>
          <t>battleship</t>
        </is>
      </c>
      <c r="C107" s="7" t="inlineStr">
        <is>
          <t>IGame</t>
        </is>
      </c>
      <c r="D107" t="inlineStr">
        <is>
          <t>getMyFleet()</t>
        </is>
      </c>
      <c r="E107" t="inlineStr">
        <is>
          <t>IGame.getMyFleet()</t>
        </is>
      </c>
      <c r="F107" s="8" t="n">
        <v>1</v>
      </c>
      <c r="G107" s="8" t="n">
        <v>0</v>
      </c>
      <c r="H107" s="8" t="n">
        <v>0</v>
      </c>
      <c r="I107" s="9">
        <f>IF(MAX($F$2:$F$194)=MIN($F$2:$F$194),0,(F107-MIN($F$2:$F$194))/(MAX($F$2:$F$194)-MIN($F$2:$F$194)))</f>
        <v/>
      </c>
      <c r="J107" s="9">
        <f>IF(MAX($G$2:$G$194)=MIN($G$2:$G$194),0,(G107-MIN($G$2:$G$194))/(MAX($G$2:$G$194)-MIN($G$2:$G$194)))</f>
        <v/>
      </c>
      <c r="K107" s="9">
        <f>IF(MAX($H$2:$H$194)=MIN($H$2:$H$194),0,(H107-MIN($H$2:$H$194))/(MAX($H$2:$H$194)-MIN($H$2:$H$194)))</f>
        <v/>
      </c>
      <c r="L107" s="9">
        <f>I107+J107+K107</f>
        <v/>
      </c>
      <c r="M107" s="2" t="n">
        <v>0</v>
      </c>
      <c r="N107" s="2" t="n">
        <v>0</v>
      </c>
      <c r="P107" s="2" t="n">
        <v>0</v>
      </c>
      <c r="Q107" s="2" t="n">
        <v>0</v>
      </c>
      <c r="S107" s="2" t="n">
        <v>0</v>
      </c>
      <c r="T107" s="3" t="n">
        <v>0</v>
      </c>
      <c r="U107" s="2" t="n">
        <v>0</v>
      </c>
      <c r="V107" s="3" t="n">
        <v>0</v>
      </c>
      <c r="W107" s="3" t="n">
        <v>0</v>
      </c>
      <c r="X107" s="3" t="n">
        <v>0</v>
      </c>
      <c r="Y107" t="inlineStr">
        <is>
          <t>NaN</t>
        </is>
      </c>
      <c r="Z107" t="inlineStr">
        <is>
          <t>NaN</t>
        </is>
      </c>
      <c r="AA107" s="2" t="n">
        <v>0</v>
      </c>
      <c r="AB107" s="2" t="n">
        <v>0</v>
      </c>
      <c r="AC107" t="inlineStr">
        <is>
          <t>NaN</t>
        </is>
      </c>
    </row>
    <row r="108">
      <c r="A108" s="7" t="inlineStr">
        <is>
          <t>Project</t>
        </is>
      </c>
      <c r="B108" s="7" t="inlineStr">
        <is>
          <t>battleship</t>
        </is>
      </c>
      <c r="C108" s="7" t="inlineStr">
        <is>
          <t>IGame</t>
        </is>
      </c>
      <c r="D108" t="inlineStr">
        <is>
          <t>getMyMoves()</t>
        </is>
      </c>
      <c r="E108" t="inlineStr">
        <is>
          <t>IGame.getMyMoves()</t>
        </is>
      </c>
      <c r="F108" s="8" t="n">
        <v>1</v>
      </c>
      <c r="G108" s="8" t="n">
        <v>0</v>
      </c>
      <c r="H108" s="8" t="n">
        <v>0</v>
      </c>
      <c r="I108" s="9">
        <f>IF(MAX($F$2:$F$194)=MIN($F$2:$F$194),0,(F108-MIN($F$2:$F$194))/(MAX($F$2:$F$194)-MIN($F$2:$F$194)))</f>
        <v/>
      </c>
      <c r="J108" s="9">
        <f>IF(MAX($G$2:$G$194)=MIN($G$2:$G$194),0,(G108-MIN($G$2:$G$194))/(MAX($G$2:$G$194)-MIN($G$2:$G$194)))</f>
        <v/>
      </c>
      <c r="K108" s="9">
        <f>IF(MAX($H$2:$H$194)=MIN($H$2:$H$194),0,(H108-MIN($H$2:$H$194))/(MAX($H$2:$H$194)-MIN($H$2:$H$194)))</f>
        <v/>
      </c>
      <c r="L108" s="9">
        <f>I108+J108+K108</f>
        <v/>
      </c>
      <c r="M108" s="2" t="n">
        <v>0</v>
      </c>
      <c r="N108" s="2" t="n">
        <v>0</v>
      </c>
      <c r="P108" s="2" t="n">
        <v>0</v>
      </c>
      <c r="Q108" s="2" t="n">
        <v>0</v>
      </c>
      <c r="S108" s="2" t="n">
        <v>0</v>
      </c>
      <c r="T108" s="3" t="n">
        <v>0</v>
      </c>
      <c r="U108" s="2" t="n">
        <v>0</v>
      </c>
      <c r="V108" s="3" t="n">
        <v>0</v>
      </c>
      <c r="W108" s="3" t="n">
        <v>0</v>
      </c>
      <c r="X108" s="3" t="n">
        <v>0</v>
      </c>
      <c r="Y108" t="inlineStr">
        <is>
          <t>NaN</t>
        </is>
      </c>
      <c r="Z108" t="inlineStr">
        <is>
          <t>NaN</t>
        </is>
      </c>
      <c r="AA108" s="2" t="n">
        <v>0</v>
      </c>
      <c r="AB108" s="2" t="n">
        <v>0</v>
      </c>
      <c r="AC108" t="inlineStr">
        <is>
          <t>NaN</t>
        </is>
      </c>
    </row>
    <row r="109">
      <c r="A109" s="7" t="inlineStr">
        <is>
          <t>Project</t>
        </is>
      </c>
      <c r="B109" s="7" t="inlineStr">
        <is>
          <t>battleship</t>
        </is>
      </c>
      <c r="C109" s="7" t="inlineStr">
        <is>
          <t>IGame</t>
        </is>
      </c>
      <c r="D109" t="inlineStr">
        <is>
          <t>getRemainingShips()</t>
        </is>
      </c>
      <c r="E109" t="inlineStr">
        <is>
          <t>IGame.getRemainingShips()</t>
        </is>
      </c>
      <c r="F109" s="8" t="n">
        <v>1</v>
      </c>
      <c r="G109" s="8" t="n">
        <v>0</v>
      </c>
      <c r="H109" s="8" t="n">
        <v>0</v>
      </c>
      <c r="I109" s="9">
        <f>IF(MAX($F$2:$F$194)=MIN($F$2:$F$194),0,(F109-MIN($F$2:$F$194))/(MAX($F$2:$F$194)-MIN($F$2:$F$194)))</f>
        <v/>
      </c>
      <c r="J109" s="9">
        <f>IF(MAX($G$2:$G$194)=MIN($G$2:$G$194),0,(G109-MIN($G$2:$G$194))/(MAX($G$2:$G$194)-MIN($G$2:$G$194)))</f>
        <v/>
      </c>
      <c r="K109" s="9">
        <f>IF(MAX($H$2:$H$194)=MIN($H$2:$H$194),0,(H109-MIN($H$2:$H$194))/(MAX($H$2:$H$194)-MIN($H$2:$H$194)))</f>
        <v/>
      </c>
      <c r="L109" s="9">
        <f>I109+J109+K109</f>
        <v/>
      </c>
      <c r="M109" s="2" t="n">
        <v>0</v>
      </c>
      <c r="N109" s="2" t="n">
        <v>0</v>
      </c>
      <c r="P109" s="2" t="n">
        <v>0</v>
      </c>
      <c r="Q109" s="2" t="n">
        <v>0</v>
      </c>
      <c r="S109" s="2" t="n">
        <v>0</v>
      </c>
      <c r="T109" s="3" t="n">
        <v>0</v>
      </c>
      <c r="U109" s="2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2" t="n">
        <v>1</v>
      </c>
      <c r="AB109" s="2" t="n">
        <v>1</v>
      </c>
      <c r="AC109" s="3" t="n">
        <v>0</v>
      </c>
    </row>
    <row r="110">
      <c r="A110" s="7" t="inlineStr">
        <is>
          <t>Project</t>
        </is>
      </c>
      <c r="B110" s="7" t="inlineStr">
        <is>
          <t>battleship</t>
        </is>
      </c>
      <c r="C110" s="7" t="inlineStr">
        <is>
          <t>IGame</t>
        </is>
      </c>
      <c r="D110" t="inlineStr">
        <is>
          <t>getRepeatedShots()</t>
        </is>
      </c>
      <c r="E110" t="inlineStr">
        <is>
          <t>IGame.getRepeatedShots()</t>
        </is>
      </c>
      <c r="F110" s="8" t="n">
        <v>1</v>
      </c>
      <c r="G110" s="8" t="n">
        <v>0</v>
      </c>
      <c r="H110" s="8" t="n">
        <v>0</v>
      </c>
      <c r="I110" s="9">
        <f>IF(MAX($F$2:$F$194)=MIN($F$2:$F$194),0,(F110-MIN($F$2:$F$194))/(MAX($F$2:$F$194)-MIN($F$2:$F$194)))</f>
        <v/>
      </c>
      <c r="J110" s="9">
        <f>IF(MAX($G$2:$G$194)=MIN($G$2:$G$194),0,(G110-MIN($G$2:$G$194))/(MAX($G$2:$G$194)-MIN($G$2:$G$194)))</f>
        <v/>
      </c>
      <c r="K110" s="9">
        <f>IF(MAX($H$2:$H$194)=MIN($H$2:$H$194),0,(H110-MIN($H$2:$H$194))/(MAX($H$2:$H$194)-MIN($H$2:$H$194)))</f>
        <v/>
      </c>
      <c r="L110" s="9">
        <f>I110+J110+K110</f>
        <v/>
      </c>
      <c r="M110" s="2" t="n">
        <v>0</v>
      </c>
      <c r="N110" s="2" t="n">
        <v>0</v>
      </c>
      <c r="P110" s="2" t="n">
        <v>0</v>
      </c>
      <c r="Q110" s="2" t="n">
        <v>0</v>
      </c>
      <c r="S110" s="2" t="n">
        <v>0</v>
      </c>
      <c r="T110" s="3" t="n">
        <v>0</v>
      </c>
      <c r="U110" s="2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2" t="n">
        <v>1</v>
      </c>
      <c r="AB110" s="2" t="n">
        <v>1</v>
      </c>
      <c r="AC110" s="3" t="n">
        <v>0</v>
      </c>
    </row>
    <row r="111">
      <c r="A111" s="7" t="inlineStr">
        <is>
          <t>Project</t>
        </is>
      </c>
      <c r="B111" s="7" t="inlineStr">
        <is>
          <t>battleship</t>
        </is>
      </c>
      <c r="C111" s="7" t="inlineStr">
        <is>
          <t>IGame</t>
        </is>
      </c>
      <c r="D111" t="inlineStr">
        <is>
          <t>getSunkShips()</t>
        </is>
      </c>
      <c r="E111" t="inlineStr">
        <is>
          <t>IGame.getSunkShips()</t>
        </is>
      </c>
      <c r="F111" s="8" t="n">
        <v>1</v>
      </c>
      <c r="G111" s="8" t="n">
        <v>0</v>
      </c>
      <c r="H111" s="8" t="n">
        <v>0</v>
      </c>
      <c r="I111" s="9">
        <f>IF(MAX($F$2:$F$194)=MIN($F$2:$F$194),0,(F111-MIN($F$2:$F$194))/(MAX($F$2:$F$194)-MIN($F$2:$F$194)))</f>
        <v/>
      </c>
      <c r="J111" s="9">
        <f>IF(MAX($G$2:$G$194)=MIN($G$2:$G$194),0,(G111-MIN($G$2:$G$194))/(MAX($G$2:$G$194)-MIN($G$2:$G$194)))</f>
        <v/>
      </c>
      <c r="K111" s="9">
        <f>IF(MAX($H$2:$H$194)=MIN($H$2:$H$194),0,(H111-MIN($H$2:$H$194))/(MAX($H$2:$H$194)-MIN($H$2:$H$194)))</f>
        <v/>
      </c>
      <c r="L111" s="9">
        <f>I111+J111+K111</f>
        <v/>
      </c>
      <c r="M111" s="2" t="n">
        <v>0</v>
      </c>
      <c r="N111" s="2" t="n">
        <v>0</v>
      </c>
      <c r="P111" s="2" t="n">
        <v>0</v>
      </c>
      <c r="Q111" s="2" t="n">
        <v>0</v>
      </c>
      <c r="S111" s="2" t="n">
        <v>0</v>
      </c>
      <c r="T111" s="3" t="n">
        <v>0</v>
      </c>
      <c r="U111" s="2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2" t="n">
        <v>1</v>
      </c>
      <c r="AB111" s="2" t="n">
        <v>1</v>
      </c>
      <c r="AC111" s="3" t="n">
        <v>0</v>
      </c>
    </row>
    <row r="112">
      <c r="A112" s="7" t="inlineStr">
        <is>
          <t>Project</t>
        </is>
      </c>
      <c r="B112" s="7" t="inlineStr">
        <is>
          <t>battleship</t>
        </is>
      </c>
      <c r="C112" s="7" t="inlineStr">
        <is>
          <t>IGame</t>
        </is>
      </c>
      <c r="D112" t="inlineStr">
        <is>
          <t>over()</t>
        </is>
      </c>
      <c r="E112" t="inlineStr">
        <is>
          <t>IGame.over()</t>
        </is>
      </c>
      <c r="F112" s="8" t="n">
        <v>1</v>
      </c>
      <c r="G112" s="8" t="n">
        <v>0</v>
      </c>
      <c r="H112" s="8" t="n">
        <v>0</v>
      </c>
      <c r="I112" s="9">
        <f>IF(MAX($F$2:$F$194)=MIN($F$2:$F$194),0,(F112-MIN($F$2:$F$194))/(MAX($F$2:$F$194)-MIN($F$2:$F$194)))</f>
        <v/>
      </c>
      <c r="J112" s="9">
        <f>IF(MAX($G$2:$G$194)=MIN($G$2:$G$194),0,(G112-MIN($G$2:$G$194))/(MAX($G$2:$G$194)-MIN($G$2:$G$194)))</f>
        <v/>
      </c>
      <c r="K112" s="9">
        <f>IF(MAX($H$2:$H$194)=MIN($H$2:$H$194),0,(H112-MIN($H$2:$H$194))/(MAX($H$2:$H$194)-MIN($H$2:$H$194)))</f>
        <v/>
      </c>
      <c r="L112" s="9">
        <f>I112+J112+K112</f>
        <v/>
      </c>
      <c r="M112" s="2" t="n">
        <v>0</v>
      </c>
      <c r="N112" s="2" t="n">
        <v>0</v>
      </c>
      <c r="P112" s="2" t="n">
        <v>0</v>
      </c>
      <c r="Q112" s="2" t="n">
        <v>0</v>
      </c>
      <c r="S112" s="2" t="n">
        <v>0</v>
      </c>
      <c r="T112" s="3" t="n">
        <v>0</v>
      </c>
      <c r="U112" s="2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2" t="n">
        <v>1</v>
      </c>
      <c r="AB112" s="2" t="n">
        <v>1</v>
      </c>
      <c r="AC112" s="3" t="n">
        <v>0</v>
      </c>
    </row>
    <row r="113">
      <c r="A113" s="7" t="inlineStr">
        <is>
          <t>Project</t>
        </is>
      </c>
      <c r="B113" s="7" t="inlineStr">
        <is>
          <t>battleship</t>
        </is>
      </c>
      <c r="C113" s="7" t="inlineStr">
        <is>
          <t>IGame</t>
        </is>
      </c>
      <c r="D113" t="inlineStr">
        <is>
          <t>printAlienBoard(boolean, boolean)</t>
        </is>
      </c>
      <c r="E113" t="inlineStr">
        <is>
          <t>IGame.printAlienBoard(boolean, boolean)</t>
        </is>
      </c>
      <c r="F113" s="8" t="n">
        <v>1</v>
      </c>
      <c r="G113" s="8" t="n">
        <v>2</v>
      </c>
      <c r="H113" s="8" t="n">
        <v>0</v>
      </c>
      <c r="I113" s="9">
        <f>IF(MAX($F$2:$F$194)=MIN($F$2:$F$194),0,(F113-MIN($F$2:$F$194))/(MAX($F$2:$F$194)-MIN($F$2:$F$194)))</f>
        <v/>
      </c>
      <c r="J113" s="9">
        <f>IF(MAX($G$2:$G$194)=MIN($G$2:$G$194),0,(G113-MIN($G$2:$G$194))/(MAX($G$2:$G$194)-MIN($G$2:$G$194)))</f>
        <v/>
      </c>
      <c r="K113" s="9">
        <f>IF(MAX($H$2:$H$194)=MIN($H$2:$H$194),0,(H113-MIN($H$2:$H$194))/(MAX($H$2:$H$194)-MIN($H$2:$H$194)))</f>
        <v/>
      </c>
      <c r="L113" s="9">
        <f>I113+J113+K113</f>
        <v/>
      </c>
      <c r="M113" s="2" t="n">
        <v>0</v>
      </c>
      <c r="N113" s="2" t="n">
        <v>0</v>
      </c>
      <c r="P113" s="2" t="n">
        <v>0</v>
      </c>
      <c r="Q113" s="2" t="n">
        <v>0</v>
      </c>
      <c r="S113" s="2" t="n">
        <v>0</v>
      </c>
      <c r="T113" s="3" t="n">
        <v>0</v>
      </c>
      <c r="U113" s="2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2" t="n">
        <v>3</v>
      </c>
      <c r="AB113" s="2" t="n">
        <v>2</v>
      </c>
      <c r="AC113" s="3" t="n">
        <v>3</v>
      </c>
    </row>
    <row r="114">
      <c r="A114" s="7" t="inlineStr">
        <is>
          <t>Project</t>
        </is>
      </c>
      <c r="B114" s="7" t="inlineStr">
        <is>
          <t>battleship</t>
        </is>
      </c>
      <c r="C114" s="7" t="inlineStr">
        <is>
          <t>IGame</t>
        </is>
      </c>
      <c r="D114" t="inlineStr">
        <is>
          <t>printMyBoard(boolean, boolean)</t>
        </is>
      </c>
      <c r="E114" t="inlineStr">
        <is>
          <t>IGame.printMyBoard(boolean, boolean)</t>
        </is>
      </c>
      <c r="F114" s="8" t="n">
        <v>1</v>
      </c>
      <c r="G114" s="8" t="n">
        <v>2</v>
      </c>
      <c r="H114" s="8" t="n">
        <v>0</v>
      </c>
      <c r="I114" s="9">
        <f>IF(MAX($F$2:$F$194)=MIN($F$2:$F$194),0,(F114-MIN($F$2:$F$194))/(MAX($F$2:$F$194)-MIN($F$2:$F$194)))</f>
        <v/>
      </c>
      <c r="J114" s="9">
        <f>IF(MAX($G$2:$G$194)=MIN($G$2:$G$194),0,(G114-MIN($G$2:$G$194))/(MAX($G$2:$G$194)-MIN($G$2:$G$194)))</f>
        <v/>
      </c>
      <c r="K114" s="9">
        <f>IF(MAX($H$2:$H$194)=MIN($H$2:$H$194),0,(H114-MIN($H$2:$H$194))/(MAX($H$2:$H$194)-MIN($H$2:$H$194)))</f>
        <v/>
      </c>
      <c r="L114" s="9">
        <f>I114+J114+K114</f>
        <v/>
      </c>
      <c r="M114" s="2" t="n">
        <v>0</v>
      </c>
      <c r="N114" s="2" t="n">
        <v>0</v>
      </c>
      <c r="P114" s="2" t="n">
        <v>0</v>
      </c>
      <c r="Q114" s="2" t="n">
        <v>0</v>
      </c>
      <c r="S114" s="2" t="n">
        <v>0</v>
      </c>
      <c r="T114" s="3" t="n">
        <v>0</v>
      </c>
      <c r="U114" s="2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2" t="n">
        <v>3</v>
      </c>
      <c r="AB114" s="2" t="n">
        <v>2</v>
      </c>
      <c r="AC114" s="3" t="n">
        <v>3</v>
      </c>
    </row>
    <row r="115">
      <c r="A115" s="7" t="inlineStr">
        <is>
          <t>Project</t>
        </is>
      </c>
      <c r="B115" s="7" t="inlineStr">
        <is>
          <t>battleship</t>
        </is>
      </c>
      <c r="C115" s="7" t="inlineStr">
        <is>
          <t>IGame</t>
        </is>
      </c>
      <c r="D115" t="inlineStr">
        <is>
          <t>randomEnemyFire()</t>
        </is>
      </c>
      <c r="E115" t="inlineStr">
        <is>
          <t>IGame.randomEnemyFire()</t>
        </is>
      </c>
      <c r="F115" s="8" t="n">
        <v>1</v>
      </c>
      <c r="G115" s="8" t="n">
        <v>0</v>
      </c>
      <c r="H115" s="8" t="n">
        <v>0</v>
      </c>
      <c r="I115" s="9">
        <f>IF(MAX($F$2:$F$194)=MIN($F$2:$F$194),0,(F115-MIN($F$2:$F$194))/(MAX($F$2:$F$194)-MIN($F$2:$F$194)))</f>
        <v/>
      </c>
      <c r="J115" s="9">
        <f>IF(MAX($G$2:$G$194)=MIN($G$2:$G$194),0,(G115-MIN($G$2:$G$194))/(MAX($G$2:$G$194)-MIN($G$2:$G$194)))</f>
        <v/>
      </c>
      <c r="K115" s="9">
        <f>IF(MAX($H$2:$H$194)=MIN($H$2:$H$194),0,(H115-MIN($H$2:$H$194))/(MAX($H$2:$H$194)-MIN($H$2:$H$194)))</f>
        <v/>
      </c>
      <c r="L115" s="9">
        <f>I115+J115+K115</f>
        <v/>
      </c>
      <c r="M115" s="2" t="n">
        <v>0</v>
      </c>
      <c r="N115" s="2" t="n">
        <v>0</v>
      </c>
      <c r="P115" s="2" t="n">
        <v>0</v>
      </c>
      <c r="Q115" s="2" t="n">
        <v>0</v>
      </c>
      <c r="S115" s="2" t="n">
        <v>0</v>
      </c>
      <c r="T115" s="3" t="n">
        <v>0</v>
      </c>
      <c r="U115" s="2" t="n">
        <v>0</v>
      </c>
      <c r="V115" s="3" t="n">
        <v>0</v>
      </c>
      <c r="W115" s="3" t="n">
        <v>0</v>
      </c>
      <c r="X115" s="3" t="n">
        <v>0</v>
      </c>
      <c r="Y115" t="inlineStr">
        <is>
          <t>NaN</t>
        </is>
      </c>
      <c r="Z115" t="inlineStr">
        <is>
          <t>NaN</t>
        </is>
      </c>
      <c r="AA115" s="2" t="n">
        <v>0</v>
      </c>
      <c r="AB115" s="2" t="n">
        <v>0</v>
      </c>
      <c r="AC115" t="inlineStr">
        <is>
          <t>NaN</t>
        </is>
      </c>
    </row>
    <row r="116">
      <c r="A116" s="7" t="inlineStr">
        <is>
          <t>Project</t>
        </is>
      </c>
      <c r="B116" s="7" t="inlineStr">
        <is>
          <t>battleship</t>
        </is>
      </c>
      <c r="C116" s="7" t="inlineStr">
        <is>
          <t>IGame</t>
        </is>
      </c>
      <c r="D116" t="inlineStr">
        <is>
          <t>readEnemyFire(Scanner)</t>
        </is>
      </c>
      <c r="E116" t="inlineStr">
        <is>
          <t>IGame.readEnemyFire(Scanner)</t>
        </is>
      </c>
      <c r="F116" s="8" t="n">
        <v>1</v>
      </c>
      <c r="G116" s="8" t="n">
        <v>1</v>
      </c>
      <c r="H116" s="8" t="n">
        <v>0</v>
      </c>
      <c r="I116" s="9">
        <f>IF(MAX($F$2:$F$194)=MIN($F$2:$F$194),0,(F116-MIN($F$2:$F$194))/(MAX($F$2:$F$194)-MIN($F$2:$F$194)))</f>
        <v/>
      </c>
      <c r="J116" s="9">
        <f>IF(MAX($G$2:$G$194)=MIN($G$2:$G$194),0,(G116-MIN($G$2:$G$194))/(MAX($G$2:$G$194)-MIN($G$2:$G$194)))</f>
        <v/>
      </c>
      <c r="K116" s="9">
        <f>IF(MAX($H$2:$H$194)=MIN($H$2:$H$194),0,(H116-MIN($H$2:$H$194))/(MAX($H$2:$H$194)-MIN($H$2:$H$194)))</f>
        <v/>
      </c>
      <c r="L116" s="9">
        <f>I116+J116+K116</f>
        <v/>
      </c>
      <c r="M116" s="2" t="n">
        <v>0</v>
      </c>
      <c r="N116" s="2" t="n">
        <v>0</v>
      </c>
      <c r="P116" s="2" t="n">
        <v>0</v>
      </c>
      <c r="Q116" s="2" t="n">
        <v>0</v>
      </c>
      <c r="S116" s="2" t="n">
        <v>0</v>
      </c>
      <c r="T116" s="3" t="n">
        <v>0</v>
      </c>
      <c r="U116" s="2" t="n">
        <v>0</v>
      </c>
      <c r="V116" s="3" t="n">
        <v>0</v>
      </c>
      <c r="W116" s="3" t="n">
        <v>0</v>
      </c>
      <c r="X116" s="3" t="n">
        <v>0</v>
      </c>
      <c r="Y116" t="inlineStr">
        <is>
          <t>NaN</t>
        </is>
      </c>
      <c r="Z116" t="inlineStr">
        <is>
          <t>NaN</t>
        </is>
      </c>
      <c r="AA116" s="2" t="n">
        <v>0</v>
      </c>
      <c r="AB116" s="2" t="n">
        <v>0</v>
      </c>
      <c r="AC116" t="inlineStr">
        <is>
          <t>NaN</t>
        </is>
      </c>
    </row>
    <row r="117">
      <c r="A117" s="7" t="inlineStr">
        <is>
          <t>Project</t>
        </is>
      </c>
      <c r="B117" s="7" t="inlineStr">
        <is>
          <t>battleship</t>
        </is>
      </c>
      <c r="C117" s="7" t="inlineStr">
        <is>
          <t>IMove</t>
        </is>
      </c>
      <c r="D117" t="inlineStr">
        <is>
          <t>getNumber()</t>
        </is>
      </c>
      <c r="E117" t="inlineStr">
        <is>
          <t>IMove.getNumber()</t>
        </is>
      </c>
      <c r="F117" s="8" t="n">
        <v>1</v>
      </c>
      <c r="G117" s="8" t="n">
        <v>0</v>
      </c>
      <c r="H117" s="8" t="n">
        <v>0</v>
      </c>
      <c r="I117" s="9">
        <f>IF(MAX($F$2:$F$194)=MIN($F$2:$F$194),0,(F117-MIN($F$2:$F$194))/(MAX($F$2:$F$194)-MIN($F$2:$F$194)))</f>
        <v/>
      </c>
      <c r="J117" s="9">
        <f>IF(MAX($G$2:$G$194)=MIN($G$2:$G$194),0,(G117-MIN($G$2:$G$194))/(MAX($G$2:$G$194)-MIN($G$2:$G$194)))</f>
        <v/>
      </c>
      <c r="K117" s="9">
        <f>IF(MAX($H$2:$H$194)=MIN($H$2:$H$194),0,(H117-MIN($H$2:$H$194))/(MAX($H$2:$H$194)-MIN($H$2:$H$194)))</f>
        <v/>
      </c>
      <c r="L117" s="9">
        <f>I117+J117+K117</f>
        <v/>
      </c>
      <c r="M117" s="2" t="n">
        <v>0</v>
      </c>
      <c r="N117" s="2" t="n">
        <v>0</v>
      </c>
      <c r="P117" s="2" t="n">
        <v>1</v>
      </c>
      <c r="Q117" s="2" t="n">
        <v>1</v>
      </c>
      <c r="S117" s="2" t="n">
        <v>0</v>
      </c>
      <c r="T117" s="3" t="n">
        <v>0</v>
      </c>
      <c r="U117" s="2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2" t="n">
        <v>1</v>
      </c>
      <c r="AB117" s="2" t="n">
        <v>1</v>
      </c>
      <c r="AC117" s="3" t="n">
        <v>0</v>
      </c>
    </row>
    <row r="118">
      <c r="A118" s="7" t="inlineStr">
        <is>
          <t>Project</t>
        </is>
      </c>
      <c r="B118" s="7" t="inlineStr">
        <is>
          <t>battleship</t>
        </is>
      </c>
      <c r="C118" s="7" t="inlineStr">
        <is>
          <t>IMove</t>
        </is>
      </c>
      <c r="D118" t="inlineStr">
        <is>
          <t>getShotResults()</t>
        </is>
      </c>
      <c r="E118" t="inlineStr">
        <is>
          <t>IMove.getShotResults()</t>
        </is>
      </c>
      <c r="F118" s="8" t="n">
        <v>1</v>
      </c>
      <c r="G118" s="8" t="n">
        <v>0</v>
      </c>
      <c r="H118" s="8" t="n">
        <v>0</v>
      </c>
      <c r="I118" s="9">
        <f>IF(MAX($F$2:$F$194)=MIN($F$2:$F$194),0,(F118-MIN($F$2:$F$194))/(MAX($F$2:$F$194)-MIN($F$2:$F$194)))</f>
        <v/>
      </c>
      <c r="J118" s="9">
        <f>IF(MAX($G$2:$G$194)=MIN($G$2:$G$194),0,(G118-MIN($G$2:$G$194))/(MAX($G$2:$G$194)-MIN($G$2:$G$194)))</f>
        <v/>
      </c>
      <c r="K118" s="9">
        <f>IF(MAX($H$2:$H$194)=MIN($H$2:$H$194),0,(H118-MIN($H$2:$H$194))/(MAX($H$2:$H$194)-MIN($H$2:$H$194)))</f>
        <v/>
      </c>
      <c r="L118" s="9">
        <f>I118+J118+K118</f>
        <v/>
      </c>
      <c r="M118" s="2" t="n">
        <v>0</v>
      </c>
      <c r="N118" s="2" t="n">
        <v>0</v>
      </c>
      <c r="P118" s="2" t="n">
        <v>1</v>
      </c>
      <c r="Q118" s="2" t="n">
        <v>1</v>
      </c>
      <c r="S118" s="2" t="n">
        <v>0</v>
      </c>
      <c r="T118" s="3" t="n">
        <v>0</v>
      </c>
      <c r="U118" s="2" t="n">
        <v>0</v>
      </c>
      <c r="V118" s="3" t="n">
        <v>0</v>
      </c>
      <c r="W118" s="3" t="n">
        <v>0</v>
      </c>
      <c r="X118" s="3" t="n">
        <v>0</v>
      </c>
      <c r="Y118" t="inlineStr">
        <is>
          <t>NaN</t>
        </is>
      </c>
      <c r="Z118" t="inlineStr">
        <is>
          <t>NaN</t>
        </is>
      </c>
      <c r="AA118" s="2" t="n">
        <v>0</v>
      </c>
      <c r="AB118" s="2" t="n">
        <v>0</v>
      </c>
      <c r="AC118" t="inlineStr">
        <is>
          <t>NaN</t>
        </is>
      </c>
    </row>
    <row r="119">
      <c r="A119" s="7" t="inlineStr">
        <is>
          <t>Project</t>
        </is>
      </c>
      <c r="B119" s="7" t="inlineStr">
        <is>
          <t>battleship</t>
        </is>
      </c>
      <c r="C119" s="7" t="inlineStr">
        <is>
          <t>IMove</t>
        </is>
      </c>
      <c r="D119" t="inlineStr">
        <is>
          <t>getShots()</t>
        </is>
      </c>
      <c r="E119" t="inlineStr">
        <is>
          <t>IMove.getShots()</t>
        </is>
      </c>
      <c r="F119" s="8" t="n">
        <v>1</v>
      </c>
      <c r="G119" s="8" t="n">
        <v>0</v>
      </c>
      <c r="H119" s="8" t="n">
        <v>0</v>
      </c>
      <c r="I119" s="9">
        <f>IF(MAX($F$2:$F$194)=MIN($F$2:$F$194),0,(F119-MIN($F$2:$F$194))/(MAX($F$2:$F$194)-MIN($F$2:$F$194)))</f>
        <v/>
      </c>
      <c r="J119" s="9">
        <f>IF(MAX($G$2:$G$194)=MIN($G$2:$G$194),0,(G119-MIN($G$2:$G$194))/(MAX($G$2:$G$194)-MIN($G$2:$G$194)))</f>
        <v/>
      </c>
      <c r="K119" s="9">
        <f>IF(MAX($H$2:$H$194)=MIN($H$2:$H$194),0,(H119-MIN($H$2:$H$194))/(MAX($H$2:$H$194)-MIN($H$2:$H$194)))</f>
        <v/>
      </c>
      <c r="L119" s="9">
        <f>I119+J119+K119</f>
        <v/>
      </c>
      <c r="M119" s="2" t="n">
        <v>0</v>
      </c>
      <c r="N119" s="2" t="n">
        <v>0</v>
      </c>
      <c r="P119" s="2" t="n">
        <v>1</v>
      </c>
      <c r="Q119" s="2" t="n">
        <v>1</v>
      </c>
      <c r="S119" s="2" t="n">
        <v>0</v>
      </c>
      <c r="T119" s="3" t="n">
        <v>0</v>
      </c>
      <c r="U119" s="2" t="n">
        <v>0</v>
      </c>
      <c r="V119" s="3" t="n">
        <v>0</v>
      </c>
      <c r="W119" s="3" t="n">
        <v>0</v>
      </c>
      <c r="X119" s="3" t="n">
        <v>0</v>
      </c>
      <c r="Y119" t="inlineStr">
        <is>
          <t>NaN</t>
        </is>
      </c>
      <c r="Z119" t="inlineStr">
        <is>
          <t>NaN</t>
        </is>
      </c>
      <c r="AA119" s="2" t="n">
        <v>0</v>
      </c>
      <c r="AB119" s="2" t="n">
        <v>0</v>
      </c>
      <c r="AC119" t="inlineStr">
        <is>
          <t>NaN</t>
        </is>
      </c>
    </row>
    <row r="120">
      <c r="A120" s="7" t="inlineStr">
        <is>
          <t>Project</t>
        </is>
      </c>
      <c r="B120" s="7" t="inlineStr">
        <is>
          <t>battleship</t>
        </is>
      </c>
      <c r="C120" s="7" t="inlineStr">
        <is>
          <t>IMove</t>
        </is>
      </c>
      <c r="D120" t="inlineStr">
        <is>
          <t>processEnemyFire(boolean)</t>
        </is>
      </c>
      <c r="E120" t="inlineStr">
        <is>
          <t>IMove.processEnemyFire(boolean)</t>
        </is>
      </c>
      <c r="F120" s="8" t="n">
        <v>1</v>
      </c>
      <c r="G120" s="8" t="n">
        <v>1</v>
      </c>
      <c r="H120" s="8" t="n">
        <v>0</v>
      </c>
      <c r="I120" s="9">
        <f>IF(MAX($F$2:$F$194)=MIN($F$2:$F$194),0,(F120-MIN($F$2:$F$194))/(MAX($F$2:$F$194)-MIN($F$2:$F$194)))</f>
        <v/>
      </c>
      <c r="J120" s="9">
        <f>IF(MAX($G$2:$G$194)=MIN($G$2:$G$194),0,(G120-MIN($G$2:$G$194))/(MAX($G$2:$G$194)-MIN($G$2:$G$194)))</f>
        <v/>
      </c>
      <c r="K120" s="9">
        <f>IF(MAX($H$2:$H$194)=MIN($H$2:$H$194),0,(H120-MIN($H$2:$H$194))/(MAX($H$2:$H$194)-MIN($H$2:$H$194)))</f>
        <v/>
      </c>
      <c r="L120" s="9">
        <f>I120+J120+K120</f>
        <v/>
      </c>
      <c r="M120" s="2" t="n">
        <v>0</v>
      </c>
      <c r="N120" s="2" t="n">
        <v>0</v>
      </c>
      <c r="P120" s="2" t="n">
        <v>1</v>
      </c>
      <c r="Q120" s="2" t="n">
        <v>1</v>
      </c>
      <c r="S120" s="2" t="n">
        <v>0</v>
      </c>
      <c r="T120" s="3" t="n">
        <v>0</v>
      </c>
      <c r="U120" s="2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2" t="n">
        <v>1</v>
      </c>
      <c r="AB120" s="2" t="n">
        <v>1</v>
      </c>
      <c r="AC120" s="3" t="n">
        <v>0</v>
      </c>
    </row>
    <row r="121">
      <c r="A121" s="7" t="inlineStr">
        <is>
          <t>Project</t>
        </is>
      </c>
      <c r="B121" s="7" t="inlineStr">
        <is>
          <t>battleship</t>
        </is>
      </c>
      <c r="C121" s="7" t="inlineStr">
        <is>
          <t>IMove</t>
        </is>
      </c>
      <c r="D121" t="inlineStr">
        <is>
          <t>toString()</t>
        </is>
      </c>
      <c r="E121" t="inlineStr">
        <is>
          <t>IMove.toString()</t>
        </is>
      </c>
      <c r="F121" s="8" t="n">
        <v>1</v>
      </c>
      <c r="G121" s="8" t="n">
        <v>0</v>
      </c>
      <c r="H121" s="8" t="n">
        <v>0</v>
      </c>
      <c r="I121" s="9">
        <f>IF(MAX($F$2:$F$194)=MIN($F$2:$F$194),0,(F121-MIN($F$2:$F$194))/(MAX($F$2:$F$194)-MIN($F$2:$F$194)))</f>
        <v/>
      </c>
      <c r="J121" s="9">
        <f>IF(MAX($G$2:$G$194)=MIN($G$2:$G$194),0,(G121-MIN($G$2:$G$194))/(MAX($G$2:$G$194)-MIN($G$2:$G$194)))</f>
        <v/>
      </c>
      <c r="K121" s="9">
        <f>IF(MAX($H$2:$H$194)=MIN($H$2:$H$194),0,(H121-MIN($H$2:$H$194))/(MAX($H$2:$H$194)-MIN($H$2:$H$194)))</f>
        <v/>
      </c>
      <c r="L121" s="9">
        <f>I121+J121+K121</f>
        <v/>
      </c>
      <c r="M121" s="2" t="n">
        <v>0</v>
      </c>
      <c r="N121" s="2" t="n">
        <v>0</v>
      </c>
      <c r="P121" s="2" t="n">
        <v>1</v>
      </c>
      <c r="Q121" s="2" t="n">
        <v>1</v>
      </c>
      <c r="S121" s="2" t="n">
        <v>0</v>
      </c>
      <c r="T121" s="3" t="n">
        <v>0</v>
      </c>
      <c r="U121" s="2" t="n">
        <v>0</v>
      </c>
      <c r="V121" s="3" t="n">
        <v>0</v>
      </c>
      <c r="W121" s="3" t="n">
        <v>0</v>
      </c>
      <c r="X121" s="3" t="n">
        <v>0</v>
      </c>
      <c r="Y121" t="inlineStr">
        <is>
          <t>NaN</t>
        </is>
      </c>
      <c r="Z121" t="inlineStr">
        <is>
          <t>NaN</t>
        </is>
      </c>
      <c r="AA121" s="2" t="n">
        <v>0</v>
      </c>
      <c r="AB121" s="2" t="n">
        <v>0</v>
      </c>
      <c r="AC121" t="inlineStr">
        <is>
          <t>NaN</t>
        </is>
      </c>
    </row>
    <row r="122">
      <c r="A122" s="7" t="inlineStr">
        <is>
          <t>Project</t>
        </is>
      </c>
      <c r="B122" s="7" t="inlineStr">
        <is>
          <t>battleship</t>
        </is>
      </c>
      <c r="C122" s="7" t="inlineStr">
        <is>
          <t>IPosition</t>
        </is>
      </c>
      <c r="D122" t="inlineStr">
        <is>
          <t>adjacentPositions()</t>
        </is>
      </c>
      <c r="E122" t="inlineStr">
        <is>
          <t>IPosition.adjacentPositions()</t>
        </is>
      </c>
      <c r="F122" s="8" t="n">
        <v>1</v>
      </c>
      <c r="G122" s="8" t="n">
        <v>0</v>
      </c>
      <c r="H122" s="8" t="n">
        <v>0</v>
      </c>
      <c r="I122" s="9">
        <f>IF(MAX($F$2:$F$194)=MIN($F$2:$F$194),0,(F122-MIN($F$2:$F$194))/(MAX($F$2:$F$194)-MIN($F$2:$F$194)))</f>
        <v/>
      </c>
      <c r="J122" s="9">
        <f>IF(MAX($G$2:$G$194)=MIN($G$2:$G$194),0,(G122-MIN($G$2:$G$194))/(MAX($G$2:$G$194)-MIN($G$2:$G$194)))</f>
        <v/>
      </c>
      <c r="K122" s="9">
        <f>IF(MAX($H$2:$H$194)=MIN($H$2:$H$194),0,(H122-MIN($H$2:$H$194))/(MAX($H$2:$H$194)-MIN($H$2:$H$194)))</f>
        <v/>
      </c>
      <c r="L122" s="9">
        <f>I122+J122+K122</f>
        <v/>
      </c>
      <c r="M122" s="2" t="n">
        <v>0</v>
      </c>
      <c r="N122" s="2" t="n">
        <v>0</v>
      </c>
      <c r="P122" s="2" t="n">
        <v>0</v>
      </c>
      <c r="Q122" s="2" t="n">
        <v>0</v>
      </c>
      <c r="S122" s="2" t="n">
        <v>0</v>
      </c>
      <c r="T122" s="3" t="n">
        <v>0</v>
      </c>
      <c r="U122" s="2" t="n">
        <v>0</v>
      </c>
      <c r="V122" s="3" t="n">
        <v>0</v>
      </c>
      <c r="W122" s="3" t="n">
        <v>0</v>
      </c>
      <c r="X122" s="3" t="n">
        <v>0</v>
      </c>
      <c r="Y122" t="inlineStr">
        <is>
          <t>NaN</t>
        </is>
      </c>
      <c r="Z122" t="inlineStr">
        <is>
          <t>NaN</t>
        </is>
      </c>
      <c r="AA122" s="2" t="n">
        <v>0</v>
      </c>
      <c r="AB122" s="2" t="n">
        <v>0</v>
      </c>
      <c r="AC122" t="inlineStr">
        <is>
          <t>NaN</t>
        </is>
      </c>
    </row>
    <row r="123">
      <c r="A123" s="7" t="inlineStr">
        <is>
          <t>Project</t>
        </is>
      </c>
      <c r="B123" s="7" t="inlineStr">
        <is>
          <t>battleship</t>
        </is>
      </c>
      <c r="C123" s="7" t="inlineStr">
        <is>
          <t>IPosition</t>
        </is>
      </c>
      <c r="D123" t="inlineStr">
        <is>
          <t>equals(Object)</t>
        </is>
      </c>
      <c r="E123" t="inlineStr">
        <is>
          <t>IPosition.equals(Object)</t>
        </is>
      </c>
      <c r="F123" s="8" t="n">
        <v>1</v>
      </c>
      <c r="G123" s="8" t="n">
        <v>1</v>
      </c>
      <c r="H123" s="8" t="n">
        <v>0</v>
      </c>
      <c r="I123" s="9">
        <f>IF(MAX($F$2:$F$194)=MIN($F$2:$F$194),0,(F123-MIN($F$2:$F$194))/(MAX($F$2:$F$194)-MIN($F$2:$F$194)))</f>
        <v/>
      </c>
      <c r="J123" s="9">
        <f>IF(MAX($G$2:$G$194)=MIN($G$2:$G$194),0,(G123-MIN($G$2:$G$194))/(MAX($G$2:$G$194)-MIN($G$2:$G$194)))</f>
        <v/>
      </c>
      <c r="K123" s="9">
        <f>IF(MAX($H$2:$H$194)=MIN($H$2:$H$194),0,(H123-MIN($H$2:$H$194))/(MAX($H$2:$H$194)-MIN($H$2:$H$194)))</f>
        <v/>
      </c>
      <c r="L123" s="9">
        <f>I123+J123+K123</f>
        <v/>
      </c>
      <c r="M123" s="2" t="n">
        <v>0</v>
      </c>
      <c r="N123" s="2" t="n">
        <v>0</v>
      </c>
      <c r="P123" s="2" t="n">
        <v>0</v>
      </c>
      <c r="Q123" s="2" t="n">
        <v>0</v>
      </c>
      <c r="S123" s="2" t="n">
        <v>0</v>
      </c>
      <c r="T123" s="3" t="n">
        <v>0</v>
      </c>
      <c r="U123" s="2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2" t="n">
        <v>1</v>
      </c>
      <c r="AB123" s="2" t="n">
        <v>1</v>
      </c>
      <c r="AC123" s="3" t="n">
        <v>0</v>
      </c>
    </row>
    <row r="124">
      <c r="A124" s="7" t="inlineStr">
        <is>
          <t>Project</t>
        </is>
      </c>
      <c r="B124" s="7" t="inlineStr">
        <is>
          <t>battleship</t>
        </is>
      </c>
      <c r="C124" s="7" t="inlineStr">
        <is>
          <t>IPosition</t>
        </is>
      </c>
      <c r="D124" t="inlineStr">
        <is>
          <t>getClassicColumn()</t>
        </is>
      </c>
      <c r="E124" t="inlineStr">
        <is>
          <t>IPosition.getClassicColumn()</t>
        </is>
      </c>
      <c r="F124" s="8" t="n">
        <v>1</v>
      </c>
      <c r="G124" s="8" t="n">
        <v>0</v>
      </c>
      <c r="H124" s="8" t="n">
        <v>0</v>
      </c>
      <c r="I124" s="9">
        <f>IF(MAX($F$2:$F$194)=MIN($F$2:$F$194),0,(F124-MIN($F$2:$F$194))/(MAX($F$2:$F$194)-MIN($F$2:$F$194)))</f>
        <v/>
      </c>
      <c r="J124" s="9">
        <f>IF(MAX($G$2:$G$194)=MIN($G$2:$G$194),0,(G124-MIN($G$2:$G$194))/(MAX($G$2:$G$194)-MIN($G$2:$G$194)))</f>
        <v/>
      </c>
      <c r="K124" s="9">
        <f>IF(MAX($H$2:$H$194)=MIN($H$2:$H$194),0,(H124-MIN($H$2:$H$194))/(MAX($H$2:$H$194)-MIN($H$2:$H$194)))</f>
        <v/>
      </c>
      <c r="L124" s="9">
        <f>I124+J124+K124</f>
        <v/>
      </c>
      <c r="M124" s="2" t="n">
        <v>0</v>
      </c>
      <c r="N124" s="2" t="n">
        <v>0</v>
      </c>
      <c r="P124" s="2" t="n">
        <v>0</v>
      </c>
      <c r="Q124" s="2" t="n">
        <v>0</v>
      </c>
      <c r="S124" s="2" t="n">
        <v>0</v>
      </c>
      <c r="T124" s="3" t="n">
        <v>0</v>
      </c>
      <c r="U124" s="2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2" t="n">
        <v>1</v>
      </c>
      <c r="AB124" s="2" t="n">
        <v>1</v>
      </c>
      <c r="AC124" s="3" t="n">
        <v>0</v>
      </c>
    </row>
    <row r="125">
      <c r="A125" s="7" t="inlineStr">
        <is>
          <t>Project</t>
        </is>
      </c>
      <c r="B125" s="7" t="inlineStr">
        <is>
          <t>battleship</t>
        </is>
      </c>
      <c r="C125" s="7" t="inlineStr">
        <is>
          <t>IPosition</t>
        </is>
      </c>
      <c r="D125" t="inlineStr">
        <is>
          <t>getClassicRow()</t>
        </is>
      </c>
      <c r="E125" t="inlineStr">
        <is>
          <t>IPosition.getClassicRow()</t>
        </is>
      </c>
      <c r="F125" s="8" t="n">
        <v>1</v>
      </c>
      <c r="G125" s="8" t="n">
        <v>0</v>
      </c>
      <c r="H125" s="8" t="n">
        <v>0</v>
      </c>
      <c r="I125" s="9">
        <f>IF(MAX($F$2:$F$194)=MIN($F$2:$F$194),0,(F125-MIN($F$2:$F$194))/(MAX($F$2:$F$194)-MIN($F$2:$F$194)))</f>
        <v/>
      </c>
      <c r="J125" s="9">
        <f>IF(MAX($G$2:$G$194)=MIN($G$2:$G$194),0,(G125-MIN($G$2:$G$194))/(MAX($G$2:$G$194)-MIN($G$2:$G$194)))</f>
        <v/>
      </c>
      <c r="K125" s="9">
        <f>IF(MAX($H$2:$H$194)=MIN($H$2:$H$194),0,(H125-MIN($H$2:$H$194))/(MAX($H$2:$H$194)-MIN($H$2:$H$194)))</f>
        <v/>
      </c>
      <c r="L125" s="9">
        <f>I125+J125+K125</f>
        <v/>
      </c>
      <c r="M125" s="2" t="n">
        <v>0</v>
      </c>
      <c r="N125" s="2" t="n">
        <v>0</v>
      </c>
      <c r="P125" s="2" t="n">
        <v>0</v>
      </c>
      <c r="Q125" s="2" t="n">
        <v>0</v>
      </c>
      <c r="S125" s="2" t="n">
        <v>0</v>
      </c>
      <c r="T125" s="3" t="n">
        <v>0</v>
      </c>
      <c r="U125" s="2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2" t="n">
        <v>1</v>
      </c>
      <c r="AB125" s="2" t="n">
        <v>1</v>
      </c>
      <c r="AC125" s="3" t="n">
        <v>0</v>
      </c>
    </row>
    <row r="126">
      <c r="A126" s="7" t="inlineStr">
        <is>
          <t>Project</t>
        </is>
      </c>
      <c r="B126" s="7" t="inlineStr">
        <is>
          <t>battleship</t>
        </is>
      </c>
      <c r="C126" s="7" t="inlineStr">
        <is>
          <t>IPosition</t>
        </is>
      </c>
      <c r="D126" t="inlineStr">
        <is>
          <t>getColumn()</t>
        </is>
      </c>
      <c r="E126" t="inlineStr">
        <is>
          <t>IPosition.getColumn()</t>
        </is>
      </c>
      <c r="F126" s="8" t="n">
        <v>1</v>
      </c>
      <c r="G126" s="8" t="n">
        <v>0</v>
      </c>
      <c r="H126" s="8" t="n">
        <v>0</v>
      </c>
      <c r="I126" s="9">
        <f>IF(MAX($F$2:$F$194)=MIN($F$2:$F$194),0,(F126-MIN($F$2:$F$194))/(MAX($F$2:$F$194)-MIN($F$2:$F$194)))</f>
        <v/>
      </c>
      <c r="J126" s="9">
        <f>IF(MAX($G$2:$G$194)=MIN($G$2:$G$194),0,(G126-MIN($G$2:$G$194))/(MAX($G$2:$G$194)-MIN($G$2:$G$194)))</f>
        <v/>
      </c>
      <c r="K126" s="9">
        <f>IF(MAX($H$2:$H$194)=MIN($H$2:$H$194),0,(H126-MIN($H$2:$H$194))/(MAX($H$2:$H$194)-MIN($H$2:$H$194)))</f>
        <v/>
      </c>
      <c r="L126" s="9">
        <f>I126+J126+K126</f>
        <v/>
      </c>
      <c r="M126" s="2" t="n">
        <v>0</v>
      </c>
      <c r="N126" s="2" t="n">
        <v>0</v>
      </c>
      <c r="P126" s="2" t="n">
        <v>0</v>
      </c>
      <c r="Q126" s="2" t="n">
        <v>0</v>
      </c>
      <c r="S126" s="2" t="n">
        <v>0</v>
      </c>
      <c r="T126" s="3" t="n">
        <v>0</v>
      </c>
      <c r="U126" s="2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2" t="n">
        <v>1</v>
      </c>
      <c r="AB126" s="2" t="n">
        <v>1</v>
      </c>
      <c r="AC126" s="3" t="n">
        <v>0</v>
      </c>
    </row>
    <row r="127">
      <c r="A127" s="7" t="inlineStr">
        <is>
          <t>Project</t>
        </is>
      </c>
      <c r="B127" s="7" t="inlineStr">
        <is>
          <t>battleship</t>
        </is>
      </c>
      <c r="C127" s="7" t="inlineStr">
        <is>
          <t>IPosition</t>
        </is>
      </c>
      <c r="D127" t="inlineStr">
        <is>
          <t>getRow()</t>
        </is>
      </c>
      <c r="E127" t="inlineStr">
        <is>
          <t>IPosition.getRow()</t>
        </is>
      </c>
      <c r="F127" s="8" t="n">
        <v>1</v>
      </c>
      <c r="G127" s="8" t="n">
        <v>0</v>
      </c>
      <c r="H127" s="8" t="n">
        <v>0</v>
      </c>
      <c r="I127" s="9">
        <f>IF(MAX($F$2:$F$194)=MIN($F$2:$F$194),0,(F127-MIN($F$2:$F$194))/(MAX($F$2:$F$194)-MIN($F$2:$F$194)))</f>
        <v/>
      </c>
      <c r="J127" s="9">
        <f>IF(MAX($G$2:$G$194)=MIN($G$2:$G$194),0,(G127-MIN($G$2:$G$194))/(MAX($G$2:$G$194)-MIN($G$2:$G$194)))</f>
        <v/>
      </c>
      <c r="K127" s="9">
        <f>IF(MAX($H$2:$H$194)=MIN($H$2:$H$194),0,(H127-MIN($H$2:$H$194))/(MAX($H$2:$H$194)-MIN($H$2:$H$194)))</f>
        <v/>
      </c>
      <c r="L127" s="9">
        <f>I127+J127+K127</f>
        <v/>
      </c>
      <c r="M127" s="2" t="n">
        <v>0</v>
      </c>
      <c r="N127" s="2" t="n">
        <v>0</v>
      </c>
      <c r="P127" s="2" t="n">
        <v>0</v>
      </c>
      <c r="Q127" s="2" t="n">
        <v>0</v>
      </c>
      <c r="S127" s="2" t="n">
        <v>0</v>
      </c>
      <c r="T127" s="3" t="n">
        <v>0</v>
      </c>
      <c r="U127" s="2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2" t="n">
        <v>1</v>
      </c>
      <c r="AB127" s="2" t="n">
        <v>1</v>
      </c>
      <c r="AC127" s="3" t="n">
        <v>0</v>
      </c>
    </row>
    <row r="128">
      <c r="A128" s="7" t="inlineStr">
        <is>
          <t>Project</t>
        </is>
      </c>
      <c r="B128" s="7" t="inlineStr">
        <is>
          <t>battleship</t>
        </is>
      </c>
      <c r="C128" s="7" t="inlineStr">
        <is>
          <t>IPosition</t>
        </is>
      </c>
      <c r="D128" t="inlineStr">
        <is>
          <t>isAdjacentTo(IPosition)</t>
        </is>
      </c>
      <c r="E128" t="inlineStr">
        <is>
          <t>IPosition.isAdjacentTo(IPosition)</t>
        </is>
      </c>
      <c r="F128" s="8" t="n">
        <v>1</v>
      </c>
      <c r="G128" s="8" t="n">
        <v>1</v>
      </c>
      <c r="H128" s="8" t="n">
        <v>0</v>
      </c>
      <c r="I128" s="9">
        <f>IF(MAX($F$2:$F$194)=MIN($F$2:$F$194),0,(F128-MIN($F$2:$F$194))/(MAX($F$2:$F$194)-MIN($F$2:$F$194)))</f>
        <v/>
      </c>
      <c r="J128" s="9">
        <f>IF(MAX($G$2:$G$194)=MIN($G$2:$G$194),0,(G128-MIN($G$2:$G$194))/(MAX($G$2:$G$194)-MIN($G$2:$G$194)))</f>
        <v/>
      </c>
      <c r="K128" s="9">
        <f>IF(MAX($H$2:$H$194)=MIN($H$2:$H$194),0,(H128-MIN($H$2:$H$194))/(MAX($H$2:$H$194)-MIN($H$2:$H$194)))</f>
        <v/>
      </c>
      <c r="L128" s="9">
        <f>I128+J128+K128</f>
        <v/>
      </c>
      <c r="M128" s="2" t="n">
        <v>0</v>
      </c>
      <c r="N128" s="2" t="n">
        <v>0</v>
      </c>
      <c r="P128" s="2" t="n">
        <v>0</v>
      </c>
      <c r="Q128" s="2" t="n">
        <v>0</v>
      </c>
      <c r="S128" s="2" t="n">
        <v>0</v>
      </c>
      <c r="T128" s="3" t="n">
        <v>0</v>
      </c>
      <c r="U128" s="2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2" t="n">
        <v>1</v>
      </c>
      <c r="AB128" s="2" t="n">
        <v>1</v>
      </c>
      <c r="AC128" s="3" t="n">
        <v>0</v>
      </c>
    </row>
    <row r="129">
      <c r="A129" s="7" t="inlineStr">
        <is>
          <t>Project</t>
        </is>
      </c>
      <c r="B129" s="7" t="inlineStr">
        <is>
          <t>battleship</t>
        </is>
      </c>
      <c r="C129" s="7" t="inlineStr">
        <is>
          <t>IPosition</t>
        </is>
      </c>
      <c r="D129" t="inlineStr">
        <is>
          <t>isHit()</t>
        </is>
      </c>
      <c r="E129" t="inlineStr">
        <is>
          <t>IPosition.isHit()</t>
        </is>
      </c>
      <c r="F129" s="8" t="n">
        <v>1</v>
      </c>
      <c r="G129" s="8" t="n">
        <v>0</v>
      </c>
      <c r="H129" s="8" t="n">
        <v>0</v>
      </c>
      <c r="I129" s="9">
        <f>IF(MAX($F$2:$F$194)=MIN($F$2:$F$194),0,(F129-MIN($F$2:$F$194))/(MAX($F$2:$F$194)-MIN($F$2:$F$194)))</f>
        <v/>
      </c>
      <c r="J129" s="9">
        <f>IF(MAX($G$2:$G$194)=MIN($G$2:$G$194),0,(G129-MIN($G$2:$G$194))/(MAX($G$2:$G$194)-MIN($G$2:$G$194)))</f>
        <v/>
      </c>
      <c r="K129" s="9">
        <f>IF(MAX($H$2:$H$194)=MIN($H$2:$H$194),0,(H129-MIN($H$2:$H$194))/(MAX($H$2:$H$194)-MIN($H$2:$H$194)))</f>
        <v/>
      </c>
      <c r="L129" s="9">
        <f>I129+J129+K129</f>
        <v/>
      </c>
      <c r="M129" s="2" t="n">
        <v>0</v>
      </c>
      <c r="N129" s="2" t="n">
        <v>0</v>
      </c>
      <c r="P129" s="2" t="n">
        <v>0</v>
      </c>
      <c r="Q129" s="2" t="n">
        <v>0</v>
      </c>
      <c r="S129" s="2" t="n">
        <v>0</v>
      </c>
      <c r="T129" s="3" t="n">
        <v>0</v>
      </c>
      <c r="U129" s="2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2" t="n">
        <v>1</v>
      </c>
      <c r="AB129" s="2" t="n">
        <v>1</v>
      </c>
      <c r="AC129" s="3" t="n">
        <v>0</v>
      </c>
    </row>
    <row r="130">
      <c r="A130" s="7" t="inlineStr">
        <is>
          <t>Project</t>
        </is>
      </c>
      <c r="B130" s="7" t="inlineStr">
        <is>
          <t>battleship</t>
        </is>
      </c>
      <c r="C130" s="7" t="inlineStr">
        <is>
          <t>IPosition</t>
        </is>
      </c>
      <c r="D130" t="inlineStr">
        <is>
          <t>isInside()</t>
        </is>
      </c>
      <c r="E130" t="inlineStr">
        <is>
          <t>IPosition.isInside()</t>
        </is>
      </c>
      <c r="F130" s="8" t="n">
        <v>1</v>
      </c>
      <c r="G130" s="8" t="n">
        <v>0</v>
      </c>
      <c r="H130" s="8" t="n">
        <v>0</v>
      </c>
      <c r="I130" s="9">
        <f>IF(MAX($F$2:$F$194)=MIN($F$2:$F$194),0,(F130-MIN($F$2:$F$194))/(MAX($F$2:$F$194)-MIN($F$2:$F$194)))</f>
        <v/>
      </c>
      <c r="J130" s="9">
        <f>IF(MAX($G$2:$G$194)=MIN($G$2:$G$194),0,(G130-MIN($G$2:$G$194))/(MAX($G$2:$G$194)-MIN($G$2:$G$194)))</f>
        <v/>
      </c>
      <c r="K130" s="9">
        <f>IF(MAX($H$2:$H$194)=MIN($H$2:$H$194),0,(H130-MIN($H$2:$H$194))/(MAX($H$2:$H$194)-MIN($H$2:$H$194)))</f>
        <v/>
      </c>
      <c r="L130" s="9">
        <f>I130+J130+K130</f>
        <v/>
      </c>
      <c r="M130" s="2" t="n">
        <v>0</v>
      </c>
      <c r="N130" s="2" t="n">
        <v>0</v>
      </c>
      <c r="P130" s="2" t="n">
        <v>0</v>
      </c>
      <c r="Q130" s="2" t="n">
        <v>0</v>
      </c>
      <c r="S130" s="2" t="n">
        <v>0</v>
      </c>
      <c r="T130" s="3" t="n">
        <v>0</v>
      </c>
      <c r="U130" s="2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2" t="n">
        <v>1</v>
      </c>
      <c r="AB130" s="2" t="n">
        <v>1</v>
      </c>
      <c r="AC130" s="3" t="n">
        <v>0</v>
      </c>
    </row>
    <row r="131">
      <c r="A131" s="7" t="inlineStr">
        <is>
          <t>Project</t>
        </is>
      </c>
      <c r="B131" s="7" t="inlineStr">
        <is>
          <t>battleship</t>
        </is>
      </c>
      <c r="C131" s="7" t="inlineStr">
        <is>
          <t>IPosition</t>
        </is>
      </c>
      <c r="D131" t="inlineStr">
        <is>
          <t>isOccupied()</t>
        </is>
      </c>
      <c r="E131" t="inlineStr">
        <is>
          <t>IPosition.isOccupied()</t>
        </is>
      </c>
      <c r="F131" s="8" t="n">
        <v>1</v>
      </c>
      <c r="G131" s="8" t="n">
        <v>0</v>
      </c>
      <c r="H131" s="8" t="n">
        <v>0</v>
      </c>
      <c r="I131" s="9">
        <f>IF(MAX($F$2:$F$194)=MIN($F$2:$F$194),0,(F131-MIN($F$2:$F$194))/(MAX($F$2:$F$194)-MIN($F$2:$F$194)))</f>
        <v/>
      </c>
      <c r="J131" s="9">
        <f>IF(MAX($G$2:$G$194)=MIN($G$2:$G$194),0,(G131-MIN($G$2:$G$194))/(MAX($G$2:$G$194)-MIN($G$2:$G$194)))</f>
        <v/>
      </c>
      <c r="K131" s="9">
        <f>IF(MAX($H$2:$H$194)=MIN($H$2:$H$194),0,(H131-MIN($H$2:$H$194))/(MAX($H$2:$H$194)-MIN($H$2:$H$194)))</f>
        <v/>
      </c>
      <c r="L131" s="9">
        <f>I131+J131+K131</f>
        <v/>
      </c>
      <c r="M131" s="2" t="n">
        <v>0</v>
      </c>
      <c r="N131" s="2" t="n">
        <v>0</v>
      </c>
      <c r="P131" s="2" t="n">
        <v>0</v>
      </c>
      <c r="Q131" s="2" t="n">
        <v>0</v>
      </c>
      <c r="S131" s="2" t="n">
        <v>0</v>
      </c>
      <c r="T131" s="3" t="n">
        <v>0</v>
      </c>
      <c r="U131" s="2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2" t="n">
        <v>1</v>
      </c>
      <c r="AB131" s="2" t="n">
        <v>1</v>
      </c>
      <c r="AC131" s="3" t="n">
        <v>0</v>
      </c>
    </row>
    <row r="132">
      <c r="A132" s="7" t="inlineStr">
        <is>
          <t>Project</t>
        </is>
      </c>
      <c r="B132" s="7" t="inlineStr">
        <is>
          <t>battleship</t>
        </is>
      </c>
      <c r="C132" s="7" t="inlineStr">
        <is>
          <t>IPosition</t>
        </is>
      </c>
      <c r="D132" t="inlineStr">
        <is>
          <t>occupy()</t>
        </is>
      </c>
      <c r="E132" t="inlineStr">
        <is>
          <t>IPosition.occupy()</t>
        </is>
      </c>
      <c r="F132" s="8" t="n">
        <v>1</v>
      </c>
      <c r="G132" s="8" t="n">
        <v>0</v>
      </c>
      <c r="H132" s="8" t="n">
        <v>0</v>
      </c>
      <c r="I132" s="9">
        <f>IF(MAX($F$2:$F$194)=MIN($F$2:$F$194),0,(F132-MIN($F$2:$F$194))/(MAX($F$2:$F$194)-MIN($F$2:$F$194)))</f>
        <v/>
      </c>
      <c r="J132" s="9">
        <f>IF(MAX($G$2:$G$194)=MIN($G$2:$G$194),0,(G132-MIN($G$2:$G$194))/(MAX($G$2:$G$194)-MIN($G$2:$G$194)))</f>
        <v/>
      </c>
      <c r="K132" s="9">
        <f>IF(MAX($H$2:$H$194)=MIN($H$2:$H$194),0,(H132-MIN($H$2:$H$194))/(MAX($H$2:$H$194)-MIN($H$2:$H$194)))</f>
        <v/>
      </c>
      <c r="L132" s="9">
        <f>I132+J132+K132</f>
        <v/>
      </c>
      <c r="M132" s="2" t="n">
        <v>0</v>
      </c>
      <c r="N132" s="2" t="n">
        <v>0</v>
      </c>
      <c r="P132" s="2" t="n">
        <v>0</v>
      </c>
      <c r="Q132" s="2" t="n">
        <v>0</v>
      </c>
      <c r="S132" s="2" t="n">
        <v>0</v>
      </c>
      <c r="T132" s="3" t="n">
        <v>0</v>
      </c>
      <c r="U132" s="2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2" t="n">
        <v>1</v>
      </c>
      <c r="AB132" s="2" t="n">
        <v>1</v>
      </c>
      <c r="AC132" s="3" t="n">
        <v>0</v>
      </c>
    </row>
    <row r="133">
      <c r="A133" s="7" t="inlineStr">
        <is>
          <t>Project</t>
        </is>
      </c>
      <c r="B133" s="7" t="inlineStr">
        <is>
          <t>battleship</t>
        </is>
      </c>
      <c r="C133" s="7" t="inlineStr">
        <is>
          <t>IPosition</t>
        </is>
      </c>
      <c r="D133" t="inlineStr">
        <is>
          <t>shoot()</t>
        </is>
      </c>
      <c r="E133" t="inlineStr">
        <is>
          <t>IPosition.shoot()</t>
        </is>
      </c>
      <c r="F133" s="8" t="n">
        <v>1</v>
      </c>
      <c r="G133" s="8" t="n">
        <v>0</v>
      </c>
      <c r="H133" s="8" t="n">
        <v>0</v>
      </c>
      <c r="I133" s="9">
        <f>IF(MAX($F$2:$F$194)=MIN($F$2:$F$194),0,(F133-MIN($F$2:$F$194))/(MAX($F$2:$F$194)-MIN($F$2:$F$194)))</f>
        <v/>
      </c>
      <c r="J133" s="9">
        <f>IF(MAX($G$2:$G$194)=MIN($G$2:$G$194),0,(G133-MIN($G$2:$G$194))/(MAX($G$2:$G$194)-MIN($G$2:$G$194)))</f>
        <v/>
      </c>
      <c r="K133" s="9">
        <f>IF(MAX($H$2:$H$194)=MIN($H$2:$H$194),0,(H133-MIN($H$2:$H$194))/(MAX($H$2:$H$194)-MIN($H$2:$H$194)))</f>
        <v/>
      </c>
      <c r="L133" s="9">
        <f>I133+J133+K133</f>
        <v/>
      </c>
      <c r="M133" s="2" t="n">
        <v>0</v>
      </c>
      <c r="N133" s="2" t="n">
        <v>0</v>
      </c>
      <c r="P133" s="2" t="n">
        <v>0</v>
      </c>
      <c r="Q133" s="2" t="n">
        <v>0</v>
      </c>
      <c r="S133" s="2" t="n">
        <v>0</v>
      </c>
      <c r="T133" s="3" t="n">
        <v>0</v>
      </c>
      <c r="U133" s="2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2" t="n">
        <v>1</v>
      </c>
      <c r="AB133" s="2" t="n">
        <v>1</v>
      </c>
      <c r="AC133" s="3" t="n">
        <v>0</v>
      </c>
    </row>
    <row r="134">
      <c r="A134" s="7" t="inlineStr">
        <is>
          <t>Project</t>
        </is>
      </c>
      <c r="B134" s="7" t="inlineStr">
        <is>
          <t>battleship</t>
        </is>
      </c>
      <c r="C134" s="7" t="inlineStr">
        <is>
          <t>IShip</t>
        </is>
      </c>
      <c r="D134" t="inlineStr">
        <is>
          <t>getAdjacentPositions()</t>
        </is>
      </c>
      <c r="E134" t="inlineStr">
        <is>
          <t>IShip.getAdjacentPositions()</t>
        </is>
      </c>
      <c r="F134" s="8" t="n">
        <v>1</v>
      </c>
      <c r="G134" s="8" t="n">
        <v>0</v>
      </c>
      <c r="H134" s="8" t="n">
        <v>0</v>
      </c>
      <c r="I134" s="9">
        <f>IF(MAX($F$2:$F$194)=MIN($F$2:$F$194),0,(F134-MIN($F$2:$F$194))/(MAX($F$2:$F$194)-MIN($F$2:$F$194)))</f>
        <v/>
      </c>
      <c r="J134" s="9">
        <f>IF(MAX($G$2:$G$194)=MIN($G$2:$G$194),0,(G134-MIN($G$2:$G$194))/(MAX($G$2:$G$194)-MIN($G$2:$G$194)))</f>
        <v/>
      </c>
      <c r="K134" s="9">
        <f>IF(MAX($H$2:$H$194)=MIN($H$2:$H$194),0,(H134-MIN($H$2:$H$194))/(MAX($H$2:$H$194)-MIN($H$2:$H$194)))</f>
        <v/>
      </c>
      <c r="L134" s="9">
        <f>I134+J134+K134</f>
        <v/>
      </c>
      <c r="M134" s="2" t="n">
        <v>0</v>
      </c>
      <c r="N134" s="2" t="n">
        <v>0</v>
      </c>
      <c r="P134" s="2" t="n">
        <v>1</v>
      </c>
      <c r="Q134" s="2" t="n">
        <v>4</v>
      </c>
      <c r="S134" s="2" t="n">
        <v>0</v>
      </c>
      <c r="T134" s="3" t="n">
        <v>0</v>
      </c>
      <c r="U134" s="2" t="n">
        <v>0</v>
      </c>
      <c r="V134" s="3" t="n">
        <v>0</v>
      </c>
      <c r="W134" s="3" t="n">
        <v>0</v>
      </c>
      <c r="X134" s="3" t="n">
        <v>0</v>
      </c>
      <c r="Y134" t="inlineStr">
        <is>
          <t>NaN</t>
        </is>
      </c>
      <c r="Z134" t="inlineStr">
        <is>
          <t>NaN</t>
        </is>
      </c>
      <c r="AA134" s="2" t="n">
        <v>0</v>
      </c>
      <c r="AB134" s="2" t="n">
        <v>0</v>
      </c>
      <c r="AC134" t="inlineStr">
        <is>
          <t>NaN</t>
        </is>
      </c>
    </row>
    <row r="135">
      <c r="A135" s="7" t="inlineStr">
        <is>
          <t>Project</t>
        </is>
      </c>
      <c r="B135" s="7" t="inlineStr">
        <is>
          <t>battleship</t>
        </is>
      </c>
      <c r="C135" s="7" t="inlineStr">
        <is>
          <t>IShip</t>
        </is>
      </c>
      <c r="D135" t="inlineStr">
        <is>
          <t>getBearing()</t>
        </is>
      </c>
      <c r="E135" t="inlineStr">
        <is>
          <t>IShip.getBearing()</t>
        </is>
      </c>
      <c r="F135" s="8" t="n">
        <v>1</v>
      </c>
      <c r="G135" s="8" t="n">
        <v>0</v>
      </c>
      <c r="H135" s="8" t="n">
        <v>0</v>
      </c>
      <c r="I135" s="9">
        <f>IF(MAX($F$2:$F$194)=MIN($F$2:$F$194),0,(F135-MIN($F$2:$F$194))/(MAX($F$2:$F$194)-MIN($F$2:$F$194)))</f>
        <v/>
      </c>
      <c r="J135" s="9">
        <f>IF(MAX($G$2:$G$194)=MIN($G$2:$G$194),0,(G135-MIN($G$2:$G$194))/(MAX($G$2:$G$194)-MIN($G$2:$G$194)))</f>
        <v/>
      </c>
      <c r="K135" s="9">
        <f>IF(MAX($H$2:$H$194)=MIN($H$2:$H$194),0,(H135-MIN($H$2:$H$194))/(MAX($H$2:$H$194)-MIN($H$2:$H$194)))</f>
        <v/>
      </c>
      <c r="L135" s="9">
        <f>I135+J135+K135</f>
        <v/>
      </c>
      <c r="M135" s="2" t="n">
        <v>0</v>
      </c>
      <c r="N135" s="2" t="n">
        <v>0</v>
      </c>
      <c r="P135" s="2" t="n">
        <v>1</v>
      </c>
      <c r="Q135" s="2" t="n">
        <v>4</v>
      </c>
      <c r="S135" s="2" t="n">
        <v>0</v>
      </c>
      <c r="T135" s="3" t="n">
        <v>0</v>
      </c>
      <c r="U135" s="2" t="n">
        <v>0</v>
      </c>
      <c r="V135" s="3" t="n">
        <v>0</v>
      </c>
      <c r="W135" s="3" t="n">
        <v>0</v>
      </c>
      <c r="X135" s="3" t="n">
        <v>0</v>
      </c>
      <c r="Y135" t="inlineStr">
        <is>
          <t>NaN</t>
        </is>
      </c>
      <c r="Z135" t="inlineStr">
        <is>
          <t>NaN</t>
        </is>
      </c>
      <c r="AA135" s="2" t="n">
        <v>0</v>
      </c>
      <c r="AB135" s="2" t="n">
        <v>0</v>
      </c>
      <c r="AC135" t="inlineStr">
        <is>
          <t>NaN</t>
        </is>
      </c>
    </row>
    <row r="136">
      <c r="A136" s="7" t="inlineStr">
        <is>
          <t>Project</t>
        </is>
      </c>
      <c r="B136" s="7" t="inlineStr">
        <is>
          <t>battleship</t>
        </is>
      </c>
      <c r="C136" s="7" t="inlineStr">
        <is>
          <t>IShip</t>
        </is>
      </c>
      <c r="D136" t="inlineStr">
        <is>
          <t>getBottomMostPos()</t>
        </is>
      </c>
      <c r="E136" t="inlineStr">
        <is>
          <t>IShip.getBottomMostPos()</t>
        </is>
      </c>
      <c r="F136" s="8" t="n">
        <v>1</v>
      </c>
      <c r="G136" s="8" t="n">
        <v>0</v>
      </c>
      <c r="H136" s="8" t="n">
        <v>0</v>
      </c>
      <c r="I136" s="9">
        <f>IF(MAX($F$2:$F$194)=MIN($F$2:$F$194),0,(F136-MIN($F$2:$F$194))/(MAX($F$2:$F$194)-MIN($F$2:$F$194)))</f>
        <v/>
      </c>
      <c r="J136" s="9">
        <f>IF(MAX($G$2:$G$194)=MIN($G$2:$G$194),0,(G136-MIN($G$2:$G$194))/(MAX($G$2:$G$194)-MIN($G$2:$G$194)))</f>
        <v/>
      </c>
      <c r="K136" s="9">
        <f>IF(MAX($H$2:$H$194)=MIN($H$2:$H$194),0,(H136-MIN($H$2:$H$194))/(MAX($H$2:$H$194)-MIN($H$2:$H$194)))</f>
        <v/>
      </c>
      <c r="L136" s="9">
        <f>I136+J136+K136</f>
        <v/>
      </c>
      <c r="M136" s="2" t="n">
        <v>0</v>
      </c>
      <c r="N136" s="2" t="n">
        <v>0</v>
      </c>
      <c r="P136" s="2" t="n">
        <v>1</v>
      </c>
      <c r="Q136" s="2" t="n">
        <v>4</v>
      </c>
      <c r="S136" s="2" t="n">
        <v>0</v>
      </c>
      <c r="T136" s="3" t="n">
        <v>0</v>
      </c>
      <c r="U136" s="2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2" t="n">
        <v>1</v>
      </c>
      <c r="AB136" s="2" t="n">
        <v>1</v>
      </c>
      <c r="AC136" s="3" t="n">
        <v>0</v>
      </c>
    </row>
    <row r="137">
      <c r="A137" s="7" t="inlineStr">
        <is>
          <t>Project</t>
        </is>
      </c>
      <c r="B137" s="7" t="inlineStr">
        <is>
          <t>battleship</t>
        </is>
      </c>
      <c r="C137" s="7" t="inlineStr">
        <is>
          <t>IShip</t>
        </is>
      </c>
      <c r="D137" t="inlineStr">
        <is>
          <t>getCategory()</t>
        </is>
      </c>
      <c r="E137" t="inlineStr">
        <is>
          <t>IShip.getCategory()</t>
        </is>
      </c>
      <c r="F137" s="8" t="n">
        <v>1</v>
      </c>
      <c r="G137" s="8" t="n">
        <v>0</v>
      </c>
      <c r="H137" s="8" t="n">
        <v>0</v>
      </c>
      <c r="I137" s="9">
        <f>IF(MAX($F$2:$F$194)=MIN($F$2:$F$194),0,(F137-MIN($F$2:$F$194))/(MAX($F$2:$F$194)-MIN($F$2:$F$194)))</f>
        <v/>
      </c>
      <c r="J137" s="9">
        <f>IF(MAX($G$2:$G$194)=MIN($G$2:$G$194),0,(G137-MIN($G$2:$G$194))/(MAX($G$2:$G$194)-MIN($G$2:$G$194)))</f>
        <v/>
      </c>
      <c r="K137" s="9">
        <f>IF(MAX($H$2:$H$194)=MIN($H$2:$H$194),0,(H137-MIN($H$2:$H$194))/(MAX($H$2:$H$194)-MIN($H$2:$H$194)))</f>
        <v/>
      </c>
      <c r="L137" s="9">
        <f>I137+J137+K137</f>
        <v/>
      </c>
      <c r="M137" s="2" t="n">
        <v>0</v>
      </c>
      <c r="N137" s="2" t="n">
        <v>0</v>
      </c>
      <c r="P137" s="2" t="n">
        <v>1</v>
      </c>
      <c r="Q137" s="2" t="n">
        <v>4</v>
      </c>
      <c r="S137" s="2" t="n">
        <v>0</v>
      </c>
      <c r="T137" s="3" t="n">
        <v>0</v>
      </c>
      <c r="U137" s="2" t="n">
        <v>0</v>
      </c>
      <c r="V137" s="3" t="n">
        <v>0</v>
      </c>
      <c r="W137" s="3" t="n">
        <v>0</v>
      </c>
      <c r="X137" s="3" t="n">
        <v>0</v>
      </c>
      <c r="Y137" t="inlineStr">
        <is>
          <t>NaN</t>
        </is>
      </c>
      <c r="Z137" t="inlineStr">
        <is>
          <t>NaN</t>
        </is>
      </c>
      <c r="AA137" s="2" t="n">
        <v>0</v>
      </c>
      <c r="AB137" s="2" t="n">
        <v>0</v>
      </c>
      <c r="AC137" t="inlineStr">
        <is>
          <t>NaN</t>
        </is>
      </c>
    </row>
    <row r="138">
      <c r="A138" s="7" t="inlineStr">
        <is>
          <t>Project</t>
        </is>
      </c>
      <c r="B138" s="7" t="inlineStr">
        <is>
          <t>battleship</t>
        </is>
      </c>
      <c r="C138" s="7" t="inlineStr">
        <is>
          <t>IShip</t>
        </is>
      </c>
      <c r="D138" t="inlineStr">
        <is>
          <t>getLeftMostPos()</t>
        </is>
      </c>
      <c r="E138" t="inlineStr">
        <is>
          <t>IShip.getLeftMostPos()</t>
        </is>
      </c>
      <c r="F138" s="8" t="n">
        <v>1</v>
      </c>
      <c r="G138" s="8" t="n">
        <v>0</v>
      </c>
      <c r="H138" s="8" t="n">
        <v>0</v>
      </c>
      <c r="I138" s="9">
        <f>IF(MAX($F$2:$F$194)=MIN($F$2:$F$194),0,(F138-MIN($F$2:$F$194))/(MAX($F$2:$F$194)-MIN($F$2:$F$194)))</f>
        <v/>
      </c>
      <c r="J138" s="9">
        <f>IF(MAX($G$2:$G$194)=MIN($G$2:$G$194),0,(G138-MIN($G$2:$G$194))/(MAX($G$2:$G$194)-MIN($G$2:$G$194)))</f>
        <v/>
      </c>
      <c r="K138" s="9">
        <f>IF(MAX($H$2:$H$194)=MIN($H$2:$H$194),0,(H138-MIN($H$2:$H$194))/(MAX($H$2:$H$194)-MIN($H$2:$H$194)))</f>
        <v/>
      </c>
      <c r="L138" s="9">
        <f>I138+J138+K138</f>
        <v/>
      </c>
      <c r="M138" s="2" t="n">
        <v>0</v>
      </c>
      <c r="N138" s="2" t="n">
        <v>0</v>
      </c>
      <c r="P138" s="2" t="n">
        <v>1</v>
      </c>
      <c r="Q138" s="2" t="n">
        <v>4</v>
      </c>
      <c r="S138" s="2" t="n">
        <v>0</v>
      </c>
      <c r="T138" s="3" t="n">
        <v>0</v>
      </c>
      <c r="U138" s="2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2" t="n">
        <v>1</v>
      </c>
      <c r="AB138" s="2" t="n">
        <v>1</v>
      </c>
      <c r="AC138" s="3" t="n">
        <v>0</v>
      </c>
    </row>
    <row r="139">
      <c r="A139" s="7" t="inlineStr">
        <is>
          <t>Project</t>
        </is>
      </c>
      <c r="B139" s="7" t="inlineStr">
        <is>
          <t>battleship</t>
        </is>
      </c>
      <c r="C139" s="7" t="inlineStr">
        <is>
          <t>IShip</t>
        </is>
      </c>
      <c r="D139" t="inlineStr">
        <is>
          <t>getPosition()</t>
        </is>
      </c>
      <c r="E139" t="inlineStr">
        <is>
          <t>IShip.getPosition()</t>
        </is>
      </c>
      <c r="F139" s="8" t="n">
        <v>1</v>
      </c>
      <c r="G139" s="8" t="n">
        <v>0</v>
      </c>
      <c r="H139" s="8" t="n">
        <v>0</v>
      </c>
      <c r="I139" s="9">
        <f>IF(MAX($F$2:$F$194)=MIN($F$2:$F$194),0,(F139-MIN($F$2:$F$194))/(MAX($F$2:$F$194)-MIN($F$2:$F$194)))</f>
        <v/>
      </c>
      <c r="J139" s="9">
        <f>IF(MAX($G$2:$G$194)=MIN($G$2:$G$194),0,(G139-MIN($G$2:$G$194))/(MAX($G$2:$G$194)-MIN($G$2:$G$194)))</f>
        <v/>
      </c>
      <c r="K139" s="9">
        <f>IF(MAX($H$2:$H$194)=MIN($H$2:$H$194),0,(H139-MIN($H$2:$H$194))/(MAX($H$2:$H$194)-MIN($H$2:$H$194)))</f>
        <v/>
      </c>
      <c r="L139" s="9">
        <f>I139+J139+K139</f>
        <v/>
      </c>
      <c r="M139" s="2" t="n">
        <v>0</v>
      </c>
      <c r="N139" s="2" t="n">
        <v>0</v>
      </c>
      <c r="P139" s="2" t="n">
        <v>1</v>
      </c>
      <c r="Q139" s="2" t="n">
        <v>4</v>
      </c>
      <c r="S139" s="2" t="n">
        <v>0</v>
      </c>
      <c r="T139" s="3" t="n">
        <v>0</v>
      </c>
      <c r="U139" s="2" t="n">
        <v>0</v>
      </c>
      <c r="V139" s="3" t="n">
        <v>0</v>
      </c>
      <c r="W139" s="3" t="n">
        <v>0</v>
      </c>
      <c r="X139" s="3" t="n">
        <v>0</v>
      </c>
      <c r="Y139" t="inlineStr">
        <is>
          <t>NaN</t>
        </is>
      </c>
      <c r="Z139" t="inlineStr">
        <is>
          <t>NaN</t>
        </is>
      </c>
      <c r="AA139" s="2" t="n">
        <v>0</v>
      </c>
      <c r="AB139" s="2" t="n">
        <v>0</v>
      </c>
      <c r="AC139" t="inlineStr">
        <is>
          <t>NaN</t>
        </is>
      </c>
    </row>
    <row r="140">
      <c r="A140" s="7" t="inlineStr">
        <is>
          <t>Project</t>
        </is>
      </c>
      <c r="B140" s="7" t="inlineStr">
        <is>
          <t>battleship</t>
        </is>
      </c>
      <c r="C140" s="7" t="inlineStr">
        <is>
          <t>IShip</t>
        </is>
      </c>
      <c r="D140" t="inlineStr">
        <is>
          <t>getPositions()</t>
        </is>
      </c>
      <c r="E140" t="inlineStr">
        <is>
          <t>IShip.getPositions()</t>
        </is>
      </c>
      <c r="F140" s="8" t="n">
        <v>1</v>
      </c>
      <c r="G140" s="8" t="n">
        <v>0</v>
      </c>
      <c r="H140" s="8" t="n">
        <v>0</v>
      </c>
      <c r="I140" s="9">
        <f>IF(MAX($F$2:$F$194)=MIN($F$2:$F$194),0,(F140-MIN($F$2:$F$194))/(MAX($F$2:$F$194)-MIN($F$2:$F$194)))</f>
        <v/>
      </c>
      <c r="J140" s="9">
        <f>IF(MAX($G$2:$G$194)=MIN($G$2:$G$194),0,(G140-MIN($G$2:$G$194))/(MAX($G$2:$G$194)-MIN($G$2:$G$194)))</f>
        <v/>
      </c>
      <c r="K140" s="9">
        <f>IF(MAX($H$2:$H$194)=MIN($H$2:$H$194),0,(H140-MIN($H$2:$H$194))/(MAX($H$2:$H$194)-MIN($H$2:$H$194)))</f>
        <v/>
      </c>
      <c r="L140" s="9">
        <f>I140+J140+K140</f>
        <v/>
      </c>
      <c r="M140" s="2" t="n">
        <v>0</v>
      </c>
      <c r="N140" s="2" t="n">
        <v>0</v>
      </c>
      <c r="P140" s="2" t="n">
        <v>1</v>
      </c>
      <c r="Q140" s="2" t="n">
        <v>4</v>
      </c>
      <c r="S140" s="2" t="n">
        <v>0</v>
      </c>
      <c r="T140" s="3" t="n">
        <v>0</v>
      </c>
      <c r="U140" s="2" t="n">
        <v>0</v>
      </c>
      <c r="V140" s="3" t="n">
        <v>0</v>
      </c>
      <c r="W140" s="3" t="n">
        <v>0</v>
      </c>
      <c r="X140" s="3" t="n">
        <v>0</v>
      </c>
      <c r="Y140" t="inlineStr">
        <is>
          <t>NaN</t>
        </is>
      </c>
      <c r="Z140" t="inlineStr">
        <is>
          <t>NaN</t>
        </is>
      </c>
      <c r="AA140" s="2" t="n">
        <v>0</v>
      </c>
      <c r="AB140" s="2" t="n">
        <v>0</v>
      </c>
      <c r="AC140" t="inlineStr">
        <is>
          <t>NaN</t>
        </is>
      </c>
    </row>
    <row r="141">
      <c r="A141" s="7" t="inlineStr">
        <is>
          <t>Project</t>
        </is>
      </c>
      <c r="B141" s="7" t="inlineStr">
        <is>
          <t>battleship</t>
        </is>
      </c>
      <c r="C141" s="7" t="inlineStr">
        <is>
          <t>IShip</t>
        </is>
      </c>
      <c r="D141" t="inlineStr">
        <is>
          <t>getRightMostPos()</t>
        </is>
      </c>
      <c r="E141" t="inlineStr">
        <is>
          <t>IShip.getRightMostPos()</t>
        </is>
      </c>
      <c r="F141" s="8" t="n">
        <v>1</v>
      </c>
      <c r="G141" s="8" t="n">
        <v>0</v>
      </c>
      <c r="H141" s="8" t="n">
        <v>0</v>
      </c>
      <c r="I141" s="9">
        <f>IF(MAX($F$2:$F$194)=MIN($F$2:$F$194),0,(F141-MIN($F$2:$F$194))/(MAX($F$2:$F$194)-MIN($F$2:$F$194)))</f>
        <v/>
      </c>
      <c r="J141" s="9">
        <f>IF(MAX($G$2:$G$194)=MIN($G$2:$G$194),0,(G141-MIN($G$2:$G$194))/(MAX($G$2:$G$194)-MIN($G$2:$G$194)))</f>
        <v/>
      </c>
      <c r="K141" s="9">
        <f>IF(MAX($H$2:$H$194)=MIN($H$2:$H$194),0,(H141-MIN($H$2:$H$194))/(MAX($H$2:$H$194)-MIN($H$2:$H$194)))</f>
        <v/>
      </c>
      <c r="L141" s="9">
        <f>I141+J141+K141</f>
        <v/>
      </c>
      <c r="M141" s="2" t="n">
        <v>0</v>
      </c>
      <c r="N141" s="2" t="n">
        <v>0</v>
      </c>
      <c r="P141" s="2" t="n">
        <v>1</v>
      </c>
      <c r="Q141" s="2" t="n">
        <v>4</v>
      </c>
      <c r="S141" s="2" t="n">
        <v>0</v>
      </c>
      <c r="T141" s="3" t="n">
        <v>0</v>
      </c>
      <c r="U141" s="2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2" t="n">
        <v>1</v>
      </c>
      <c r="AB141" s="2" t="n">
        <v>1</v>
      </c>
      <c r="AC141" s="3" t="n">
        <v>0</v>
      </c>
    </row>
    <row r="142">
      <c r="A142" s="7" t="inlineStr">
        <is>
          <t>Project</t>
        </is>
      </c>
      <c r="B142" s="7" t="inlineStr">
        <is>
          <t>battleship</t>
        </is>
      </c>
      <c r="C142" s="7" t="inlineStr">
        <is>
          <t>IShip</t>
        </is>
      </c>
      <c r="D142" t="inlineStr">
        <is>
          <t>getSize()</t>
        </is>
      </c>
      <c r="E142" t="inlineStr">
        <is>
          <t>IShip.getSize()</t>
        </is>
      </c>
      <c r="F142" s="8" t="n">
        <v>1</v>
      </c>
      <c r="G142" s="8" t="n">
        <v>0</v>
      </c>
      <c r="H142" s="8" t="n">
        <v>0</v>
      </c>
      <c r="I142" s="9">
        <f>IF(MAX($F$2:$F$194)=MIN($F$2:$F$194),0,(F142-MIN($F$2:$F$194))/(MAX($F$2:$F$194)-MIN($F$2:$F$194)))</f>
        <v/>
      </c>
      <c r="J142" s="9">
        <f>IF(MAX($G$2:$G$194)=MIN($G$2:$G$194),0,(G142-MIN($G$2:$G$194))/(MAX($G$2:$G$194)-MIN($G$2:$G$194)))</f>
        <v/>
      </c>
      <c r="K142" s="9">
        <f>IF(MAX($H$2:$H$194)=MIN($H$2:$H$194),0,(H142-MIN($H$2:$H$194))/(MAX($H$2:$H$194)-MIN($H$2:$H$194)))</f>
        <v/>
      </c>
      <c r="L142" s="9">
        <f>I142+J142+K142</f>
        <v/>
      </c>
      <c r="M142" s="2" t="n">
        <v>0</v>
      </c>
      <c r="N142" s="2" t="n">
        <v>0</v>
      </c>
      <c r="P142" s="2" t="n">
        <v>1</v>
      </c>
      <c r="Q142" s="2" t="n">
        <v>4</v>
      </c>
      <c r="S142" s="2" t="n">
        <v>0</v>
      </c>
      <c r="T142" s="3" t="n">
        <v>0</v>
      </c>
      <c r="U142" s="2" t="n">
        <v>0</v>
      </c>
      <c r="V142" s="3" t="n">
        <v>0</v>
      </c>
      <c r="W142" s="3" t="n">
        <v>0</v>
      </c>
      <c r="X142" s="3" t="n">
        <v>0</v>
      </c>
      <c r="Y142" t="inlineStr">
        <is>
          <t>NaN</t>
        </is>
      </c>
      <c r="Z142" t="inlineStr">
        <is>
          <t>NaN</t>
        </is>
      </c>
      <c r="AA142" s="2" t="n">
        <v>0</v>
      </c>
      <c r="AB142" s="2" t="n">
        <v>0</v>
      </c>
      <c r="AC142" t="inlineStr">
        <is>
          <t>NaN</t>
        </is>
      </c>
    </row>
    <row r="143">
      <c r="A143" s="7" t="inlineStr">
        <is>
          <t>Project</t>
        </is>
      </c>
      <c r="B143" s="7" t="inlineStr">
        <is>
          <t>battleship</t>
        </is>
      </c>
      <c r="C143" s="7" t="inlineStr">
        <is>
          <t>IShip</t>
        </is>
      </c>
      <c r="D143" t="inlineStr">
        <is>
          <t>getTopMostPos()</t>
        </is>
      </c>
      <c r="E143" t="inlineStr">
        <is>
          <t>IShip.getTopMostPos()</t>
        </is>
      </c>
      <c r="F143" s="8" t="n">
        <v>1</v>
      </c>
      <c r="G143" s="8" t="n">
        <v>0</v>
      </c>
      <c r="H143" s="8" t="n">
        <v>0</v>
      </c>
      <c r="I143" s="9">
        <f>IF(MAX($F$2:$F$194)=MIN($F$2:$F$194),0,(F143-MIN($F$2:$F$194))/(MAX($F$2:$F$194)-MIN($F$2:$F$194)))</f>
        <v/>
      </c>
      <c r="J143" s="9">
        <f>IF(MAX($G$2:$G$194)=MIN($G$2:$G$194),0,(G143-MIN($G$2:$G$194))/(MAX($G$2:$G$194)-MIN($G$2:$G$194)))</f>
        <v/>
      </c>
      <c r="K143" s="9">
        <f>IF(MAX($H$2:$H$194)=MIN($H$2:$H$194),0,(H143-MIN($H$2:$H$194))/(MAX($H$2:$H$194)-MIN($H$2:$H$194)))</f>
        <v/>
      </c>
      <c r="L143" s="9">
        <f>I143+J143+K143</f>
        <v/>
      </c>
      <c r="M143" s="2" t="n">
        <v>0</v>
      </c>
      <c r="N143" s="2" t="n">
        <v>0</v>
      </c>
      <c r="P143" s="2" t="n">
        <v>1</v>
      </c>
      <c r="Q143" s="2" t="n">
        <v>4</v>
      </c>
      <c r="S143" s="2" t="n">
        <v>0</v>
      </c>
      <c r="T143" s="3" t="n">
        <v>0</v>
      </c>
      <c r="U143" s="2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2" t="n">
        <v>1</v>
      </c>
      <c r="AB143" s="2" t="n">
        <v>1</v>
      </c>
      <c r="AC143" s="3" t="n">
        <v>0</v>
      </c>
    </row>
    <row r="144">
      <c r="A144" s="7" t="inlineStr">
        <is>
          <t>Project</t>
        </is>
      </c>
      <c r="B144" s="7" t="inlineStr">
        <is>
          <t>battleship</t>
        </is>
      </c>
      <c r="C144" s="7" t="inlineStr">
        <is>
          <t>IShip</t>
        </is>
      </c>
      <c r="D144" t="inlineStr">
        <is>
          <t>occupies(IPosition)</t>
        </is>
      </c>
      <c r="E144" t="inlineStr">
        <is>
          <t>IShip.occupies(IPosition)</t>
        </is>
      </c>
      <c r="F144" s="8" t="n">
        <v>1</v>
      </c>
      <c r="G144" s="8" t="n">
        <v>1</v>
      </c>
      <c r="H144" s="8" t="n">
        <v>0</v>
      </c>
      <c r="I144" s="9">
        <f>IF(MAX($F$2:$F$194)=MIN($F$2:$F$194),0,(F144-MIN($F$2:$F$194))/(MAX($F$2:$F$194)-MIN($F$2:$F$194)))</f>
        <v/>
      </c>
      <c r="J144" s="9">
        <f>IF(MAX($G$2:$G$194)=MIN($G$2:$G$194),0,(G144-MIN($G$2:$G$194))/(MAX($G$2:$G$194)-MIN($G$2:$G$194)))</f>
        <v/>
      </c>
      <c r="K144" s="9">
        <f>IF(MAX($H$2:$H$194)=MIN($H$2:$H$194),0,(H144-MIN($H$2:$H$194))/(MAX($H$2:$H$194)-MIN($H$2:$H$194)))</f>
        <v/>
      </c>
      <c r="L144" s="9">
        <f>I144+J144+K144</f>
        <v/>
      </c>
      <c r="M144" s="2" t="n">
        <v>0</v>
      </c>
      <c r="N144" s="2" t="n">
        <v>0</v>
      </c>
      <c r="P144" s="2" t="n">
        <v>1</v>
      </c>
      <c r="Q144" s="2" t="n">
        <v>4</v>
      </c>
      <c r="S144" s="2" t="n">
        <v>0</v>
      </c>
      <c r="T144" s="3" t="n">
        <v>0</v>
      </c>
      <c r="U144" s="2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2" t="n">
        <v>1</v>
      </c>
      <c r="AB144" s="2" t="n">
        <v>1</v>
      </c>
      <c r="AC144" s="3" t="n">
        <v>0</v>
      </c>
    </row>
    <row r="145">
      <c r="A145" s="7" t="inlineStr">
        <is>
          <t>Project</t>
        </is>
      </c>
      <c r="B145" s="7" t="inlineStr">
        <is>
          <t>battleship</t>
        </is>
      </c>
      <c r="C145" s="7" t="inlineStr">
        <is>
          <t>IShip</t>
        </is>
      </c>
      <c r="D145" t="inlineStr">
        <is>
          <t>shoot(IPosition)</t>
        </is>
      </c>
      <c r="E145" t="inlineStr">
        <is>
          <t>IShip.shoot(IPosition)</t>
        </is>
      </c>
      <c r="F145" s="8" t="n">
        <v>1</v>
      </c>
      <c r="G145" s="8" t="n">
        <v>1</v>
      </c>
      <c r="H145" s="8" t="n">
        <v>0</v>
      </c>
      <c r="I145" s="9">
        <f>IF(MAX($F$2:$F$194)=MIN($F$2:$F$194),0,(F145-MIN($F$2:$F$194))/(MAX($F$2:$F$194)-MIN($F$2:$F$194)))</f>
        <v/>
      </c>
      <c r="J145" s="9">
        <f>IF(MAX($G$2:$G$194)=MIN($G$2:$G$194),0,(G145-MIN($G$2:$G$194))/(MAX($G$2:$G$194)-MIN($G$2:$G$194)))</f>
        <v/>
      </c>
      <c r="K145" s="9">
        <f>IF(MAX($H$2:$H$194)=MIN($H$2:$H$194),0,(H145-MIN($H$2:$H$194))/(MAX($H$2:$H$194)-MIN($H$2:$H$194)))</f>
        <v/>
      </c>
      <c r="L145" s="9">
        <f>I145+J145+K145</f>
        <v/>
      </c>
      <c r="M145" s="2" t="n">
        <v>0</v>
      </c>
      <c r="N145" s="2" t="n">
        <v>0</v>
      </c>
      <c r="P145" s="2" t="n">
        <v>1</v>
      </c>
      <c r="Q145" s="2" t="n">
        <v>4</v>
      </c>
      <c r="S145" s="2" t="n">
        <v>0</v>
      </c>
      <c r="T145" s="3" t="n">
        <v>0</v>
      </c>
      <c r="U145" s="2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2" t="n">
        <v>1</v>
      </c>
      <c r="AB145" s="2" t="n">
        <v>1</v>
      </c>
      <c r="AC145" s="3" t="n">
        <v>0</v>
      </c>
    </row>
    <row r="146">
      <c r="A146" s="7" t="inlineStr">
        <is>
          <t>Project</t>
        </is>
      </c>
      <c r="B146" s="7" t="inlineStr">
        <is>
          <t>battleship</t>
        </is>
      </c>
      <c r="C146" s="7" t="inlineStr">
        <is>
          <t>IShip</t>
        </is>
      </c>
      <c r="D146" t="inlineStr">
        <is>
          <t>sink()</t>
        </is>
      </c>
      <c r="E146" t="inlineStr">
        <is>
          <t>IShip.sink()</t>
        </is>
      </c>
      <c r="F146" s="8" t="n">
        <v>1</v>
      </c>
      <c r="G146" s="8" t="n">
        <v>0</v>
      </c>
      <c r="H146" s="8" t="n">
        <v>0</v>
      </c>
      <c r="I146" s="9">
        <f>IF(MAX($F$2:$F$194)=MIN($F$2:$F$194),0,(F146-MIN($F$2:$F$194))/(MAX($F$2:$F$194)-MIN($F$2:$F$194)))</f>
        <v/>
      </c>
      <c r="J146" s="9">
        <f>IF(MAX($G$2:$G$194)=MIN($G$2:$G$194),0,(G146-MIN($G$2:$G$194))/(MAX($G$2:$G$194)-MIN($G$2:$G$194)))</f>
        <v/>
      </c>
      <c r="K146" s="9">
        <f>IF(MAX($H$2:$H$194)=MIN($H$2:$H$194),0,(H146-MIN($H$2:$H$194))/(MAX($H$2:$H$194)-MIN($H$2:$H$194)))</f>
        <v/>
      </c>
      <c r="L146" s="9">
        <f>I146+J146+K146</f>
        <v/>
      </c>
      <c r="M146" s="2" t="n">
        <v>0</v>
      </c>
      <c r="N146" s="2" t="n">
        <v>0</v>
      </c>
      <c r="P146" s="2" t="n">
        <v>1</v>
      </c>
      <c r="Q146" s="2" t="n">
        <v>4</v>
      </c>
      <c r="S146" s="2" t="n">
        <v>0</v>
      </c>
      <c r="T146" s="3" t="n">
        <v>0</v>
      </c>
      <c r="U146" s="2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2" t="n">
        <v>1</v>
      </c>
      <c r="AB146" s="2" t="n">
        <v>1</v>
      </c>
      <c r="AC146" s="3" t="n">
        <v>0</v>
      </c>
    </row>
    <row r="147">
      <c r="A147" s="7" t="inlineStr">
        <is>
          <t>Project</t>
        </is>
      </c>
      <c r="B147" s="7" t="inlineStr">
        <is>
          <t>battleship</t>
        </is>
      </c>
      <c r="C147" s="7" t="inlineStr">
        <is>
          <t>IShip</t>
        </is>
      </c>
      <c r="D147" t="inlineStr">
        <is>
          <t>stillFloating()</t>
        </is>
      </c>
      <c r="E147" t="inlineStr">
        <is>
          <t>IShip.stillFloating()</t>
        </is>
      </c>
      <c r="F147" s="8" t="n">
        <v>1</v>
      </c>
      <c r="G147" s="8" t="n">
        <v>0</v>
      </c>
      <c r="H147" s="8" t="n">
        <v>0</v>
      </c>
      <c r="I147" s="9">
        <f>IF(MAX($F$2:$F$194)=MIN($F$2:$F$194),0,(F147-MIN($F$2:$F$194))/(MAX($F$2:$F$194)-MIN($F$2:$F$194)))</f>
        <v/>
      </c>
      <c r="J147" s="9">
        <f>IF(MAX($G$2:$G$194)=MIN($G$2:$G$194),0,(G147-MIN($G$2:$G$194))/(MAX($G$2:$G$194)-MIN($G$2:$G$194)))</f>
        <v/>
      </c>
      <c r="K147" s="9">
        <f>IF(MAX($H$2:$H$194)=MIN($H$2:$H$194),0,(H147-MIN($H$2:$H$194))/(MAX($H$2:$H$194)-MIN($H$2:$H$194)))</f>
        <v/>
      </c>
      <c r="L147" s="9">
        <f>I147+J147+K147</f>
        <v/>
      </c>
      <c r="M147" s="2" t="n">
        <v>0</v>
      </c>
      <c r="N147" s="2" t="n">
        <v>0</v>
      </c>
      <c r="P147" s="2" t="n">
        <v>1</v>
      </c>
      <c r="Q147" s="2" t="n">
        <v>4</v>
      </c>
      <c r="S147" s="2" t="n">
        <v>0</v>
      </c>
      <c r="T147" s="3" t="n">
        <v>0</v>
      </c>
      <c r="U147" s="2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2" t="n">
        <v>1</v>
      </c>
      <c r="AB147" s="2" t="n">
        <v>1</v>
      </c>
      <c r="AC147" s="3" t="n">
        <v>0</v>
      </c>
    </row>
    <row r="148">
      <c r="A148" s="7" t="inlineStr">
        <is>
          <t>Project</t>
        </is>
      </c>
      <c r="B148" s="7" t="inlineStr">
        <is>
          <t>battleship</t>
        </is>
      </c>
      <c r="C148" s="7" t="inlineStr">
        <is>
          <t>IShip</t>
        </is>
      </c>
      <c r="D148" t="inlineStr">
        <is>
          <t>tooCloseTo(IPosition)</t>
        </is>
      </c>
      <c r="E148" t="inlineStr">
        <is>
          <t>IShip.tooCloseTo(IPosition)</t>
        </is>
      </c>
      <c r="F148" s="8" t="n">
        <v>1</v>
      </c>
      <c r="G148" s="8" t="n">
        <v>1</v>
      </c>
      <c r="H148" s="8" t="n">
        <v>0</v>
      </c>
      <c r="I148" s="9">
        <f>IF(MAX($F$2:$F$194)=MIN($F$2:$F$194),0,(F148-MIN($F$2:$F$194))/(MAX($F$2:$F$194)-MIN($F$2:$F$194)))</f>
        <v/>
      </c>
      <c r="J148" s="9">
        <f>IF(MAX($G$2:$G$194)=MIN($G$2:$G$194),0,(G148-MIN($G$2:$G$194))/(MAX($G$2:$G$194)-MIN($G$2:$G$194)))</f>
        <v/>
      </c>
      <c r="K148" s="9">
        <f>IF(MAX($H$2:$H$194)=MIN($H$2:$H$194),0,(H148-MIN($H$2:$H$194))/(MAX($H$2:$H$194)-MIN($H$2:$H$194)))</f>
        <v/>
      </c>
      <c r="L148" s="9">
        <f>I148+J148+K148</f>
        <v/>
      </c>
      <c r="M148" s="2" t="n">
        <v>0</v>
      </c>
      <c r="N148" s="2" t="n">
        <v>0</v>
      </c>
      <c r="P148" s="2" t="n">
        <v>1</v>
      </c>
      <c r="Q148" s="2" t="n">
        <v>4</v>
      </c>
      <c r="S148" s="2" t="n">
        <v>0</v>
      </c>
      <c r="T148" s="3" t="n">
        <v>0</v>
      </c>
      <c r="U148" s="2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2" t="n">
        <v>1</v>
      </c>
      <c r="AB148" s="2" t="n">
        <v>1</v>
      </c>
      <c r="AC148" s="3" t="n">
        <v>0</v>
      </c>
    </row>
    <row r="149">
      <c r="A149" s="7" t="inlineStr">
        <is>
          <t>Project</t>
        </is>
      </c>
      <c r="B149" s="7" t="inlineStr">
        <is>
          <t>battleship</t>
        </is>
      </c>
      <c r="C149" s="7" t="inlineStr">
        <is>
          <t>IShip</t>
        </is>
      </c>
      <c r="D149" t="inlineStr">
        <is>
          <t>tooCloseTo(IShip)</t>
        </is>
      </c>
      <c r="E149" t="inlineStr">
        <is>
          <t>IShip.tooCloseTo(IShip)</t>
        </is>
      </c>
      <c r="F149" s="8" t="n">
        <v>1</v>
      </c>
      <c r="G149" s="8" t="n">
        <v>1</v>
      </c>
      <c r="H149" s="8" t="n">
        <v>0</v>
      </c>
      <c r="I149" s="9">
        <f>IF(MAX($F$2:$F$194)=MIN($F$2:$F$194),0,(F149-MIN($F$2:$F$194))/(MAX($F$2:$F$194)-MIN($F$2:$F$194)))</f>
        <v/>
      </c>
      <c r="J149" s="9">
        <f>IF(MAX($G$2:$G$194)=MIN($G$2:$G$194),0,(G149-MIN($G$2:$G$194))/(MAX($G$2:$G$194)-MIN($G$2:$G$194)))</f>
        <v/>
      </c>
      <c r="K149" s="9">
        <f>IF(MAX($H$2:$H$194)=MIN($H$2:$H$194),0,(H149-MIN($H$2:$H$194))/(MAX($H$2:$H$194)-MIN($H$2:$H$194)))</f>
        <v/>
      </c>
      <c r="L149" s="9">
        <f>I149+J149+K149</f>
        <v/>
      </c>
      <c r="M149" s="2" t="n">
        <v>0</v>
      </c>
      <c r="N149" s="2" t="n">
        <v>0</v>
      </c>
      <c r="P149" s="2" t="n">
        <v>1</v>
      </c>
      <c r="Q149" s="2" t="n">
        <v>4</v>
      </c>
      <c r="S149" s="2" t="n">
        <v>0</v>
      </c>
      <c r="T149" s="3" t="n">
        <v>0</v>
      </c>
      <c r="U149" s="2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2" t="n">
        <v>1</v>
      </c>
      <c r="AB149" s="2" t="n">
        <v>1</v>
      </c>
      <c r="AC149" s="3" t="n">
        <v>0</v>
      </c>
    </row>
    <row r="150">
      <c r="A150" s="7" t="inlineStr">
        <is>
          <t>Project</t>
        </is>
      </c>
      <c r="B150" s="7" t="inlineStr">
        <is>
          <t>battleship</t>
        </is>
      </c>
      <c r="C150" s="7" t="inlineStr">
        <is>
          <t>Main</t>
        </is>
      </c>
      <c r="D150" t="inlineStr">
        <is>
          <t>main(String[])</t>
        </is>
      </c>
      <c r="E150" t="inlineStr">
        <is>
          <t>Main.main(String[])</t>
        </is>
      </c>
      <c r="F150" s="8" t="n">
        <v>1</v>
      </c>
      <c r="G150" s="8" t="n">
        <v>1</v>
      </c>
      <c r="H150" s="8" t="n">
        <v>10</v>
      </c>
      <c r="I150" s="9">
        <f>IF(MAX($F$2:$F$194)=MIN($F$2:$F$194),0,(F150-MIN($F$2:$F$194))/(MAX($F$2:$F$194)-MIN($F$2:$F$194)))</f>
        <v/>
      </c>
      <c r="J150" s="9">
        <f>IF(MAX($G$2:$G$194)=MIN($G$2:$G$194),0,(G150-MIN($G$2:$G$194))/(MAX($G$2:$G$194)-MIN($G$2:$G$194)))</f>
        <v/>
      </c>
      <c r="K150" s="9">
        <f>IF(MAX($H$2:$H$194)=MIN($H$2:$H$194),0,(H150-MIN($H$2:$H$194))/(MAX($H$2:$H$194)-MIN($H$2:$H$194)))</f>
        <v/>
      </c>
      <c r="L150" s="9">
        <f>I150+J150+K150</f>
        <v/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1</v>
      </c>
      <c r="S150" s="2" t="n">
        <v>2</v>
      </c>
      <c r="T150" s="3" t="n">
        <v>1</v>
      </c>
      <c r="U150" s="2" t="n">
        <v>1</v>
      </c>
      <c r="V150" s="3" t="n">
        <v>0</v>
      </c>
      <c r="W150" s="3" t="n">
        <v>69.23220000000001</v>
      </c>
      <c r="X150" s="3" t="n">
        <v>2.5</v>
      </c>
      <c r="Y150" s="3" t="n">
        <v>49.1287</v>
      </c>
      <c r="Z150" s="3" t="n">
        <v>0.0045</v>
      </c>
      <c r="AA150" s="2" t="n">
        <v>7</v>
      </c>
      <c r="AB150" s="2" t="n">
        <v>7</v>
      </c>
      <c r="AC150" s="3" t="n">
        <v>19.6515</v>
      </c>
    </row>
    <row r="151">
      <c r="A151" s="7" t="inlineStr">
        <is>
          <t>Project</t>
        </is>
      </c>
      <c r="B151" s="7" t="inlineStr">
        <is>
          <t>battleship</t>
        </is>
      </c>
      <c r="C151" s="7" t="inlineStr">
        <is>
          <t>Move</t>
        </is>
      </c>
      <c r="D151" t="inlineStr">
        <is>
          <t>Move(int, List&lt;IPosition&gt;, List&lt;ShotResult&gt;)</t>
        </is>
      </c>
      <c r="E151" t="inlineStr">
        <is>
          <t>Move.Move(int, List&lt;IPosition&gt;, List&lt;ShotResult&gt;)</t>
        </is>
      </c>
      <c r="F151" s="8" t="n">
        <v>1</v>
      </c>
      <c r="G151" s="8" t="n">
        <v>3</v>
      </c>
      <c r="H151" s="8" t="n">
        <v>6</v>
      </c>
      <c r="I151" s="9">
        <f>IF(MAX($F$2:$F$194)=MIN($F$2:$F$194),0,(F151-MIN($F$2:$F$194))/(MAX($F$2:$F$194)-MIN($F$2:$F$194)))</f>
        <v/>
      </c>
      <c r="J151" s="9">
        <f>IF(MAX($G$2:$G$194)=MIN($G$2:$G$194),0,(G151-MIN($G$2:$G$194))/(MAX($G$2:$G$194)-MIN($G$2:$G$194)))</f>
        <v/>
      </c>
      <c r="K151" s="9">
        <f>IF(MAX($H$2:$H$194)=MIN($H$2:$H$194),0,(H151-MIN($H$2:$H$194))/(MAX($H$2:$H$194)-MIN($H$2:$H$194)))</f>
        <v/>
      </c>
      <c r="L151" s="9">
        <f>I151+J151+K151</f>
        <v/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6</v>
      </c>
      <c r="S151" s="2" t="n">
        <v>0</v>
      </c>
      <c r="T151" s="3" t="n">
        <v>0</v>
      </c>
      <c r="U151" s="2" t="n">
        <v>0</v>
      </c>
      <c r="V151" s="3" t="n">
        <v>1</v>
      </c>
      <c r="W151" s="3" t="n">
        <v>72.30200000000001</v>
      </c>
      <c r="X151" s="3" t="n">
        <v>1.5</v>
      </c>
      <c r="Y151" s="3" t="n">
        <v>52.3038</v>
      </c>
      <c r="Z151" s="3" t="n">
        <v>0.0047</v>
      </c>
      <c r="AA151" s="2" t="n">
        <v>11</v>
      </c>
      <c r="AB151" s="2" t="n">
        <v>9</v>
      </c>
      <c r="AC151" s="3" t="n">
        <v>34.8692</v>
      </c>
    </row>
    <row r="152">
      <c r="A152" s="7" t="inlineStr">
        <is>
          <t>Project</t>
        </is>
      </c>
      <c r="B152" s="7" t="inlineStr">
        <is>
          <t>battleship</t>
        </is>
      </c>
      <c r="C152" s="7" t="inlineStr">
        <is>
          <t>Move</t>
        </is>
      </c>
      <c r="D152" t="inlineStr">
        <is>
          <t>getNumber()</t>
        </is>
      </c>
      <c r="E152" t="inlineStr">
        <is>
          <t>Move.getNumber()</t>
        </is>
      </c>
      <c r="F152" s="8" t="n">
        <v>1</v>
      </c>
      <c r="G152" s="8" t="n">
        <v>0</v>
      </c>
      <c r="H152" s="8" t="n">
        <v>4</v>
      </c>
      <c r="I152" s="9">
        <f>IF(MAX($F$2:$F$194)=MIN($F$2:$F$194),0,(F152-MIN($F$2:$F$194))/(MAX($F$2:$F$194)-MIN($F$2:$F$194)))</f>
        <v/>
      </c>
      <c r="J152" s="9">
        <f>IF(MAX($G$2:$G$194)=MIN($G$2:$G$194),0,(G152-MIN($G$2:$G$194))/(MAX($G$2:$G$194)-MIN($G$2:$G$194)))</f>
        <v/>
      </c>
      <c r="K152" s="9">
        <f>IF(MAX($H$2:$H$194)=MIN($H$2:$H$194),0,(H152-MIN($H$2:$H$194))/(MAX($H$2:$H$194)-MIN($H$2:$H$194)))</f>
        <v/>
      </c>
      <c r="L152" s="9">
        <f>I152+J152+K152</f>
        <v/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1</v>
      </c>
      <c r="S152" s="2" t="n">
        <v>0</v>
      </c>
      <c r="T152" s="3" t="n">
        <v>0</v>
      </c>
      <c r="U152" s="2" t="n">
        <v>0</v>
      </c>
      <c r="V152" s="3" t="n">
        <v>1</v>
      </c>
      <c r="W152" s="3" t="n">
        <v>79.5748</v>
      </c>
      <c r="X152" s="3" t="n">
        <v>2</v>
      </c>
      <c r="Y152" s="3" t="n">
        <v>23.2193</v>
      </c>
      <c r="Z152" s="3" t="n">
        <v>0.0027</v>
      </c>
      <c r="AA152" s="2" t="n">
        <v>5</v>
      </c>
      <c r="AB152" s="2" t="n">
        <v>5</v>
      </c>
      <c r="AC152" s="3" t="n">
        <v>11.6096</v>
      </c>
    </row>
    <row r="153">
      <c r="A153" s="7" t="inlineStr">
        <is>
          <t>Project</t>
        </is>
      </c>
      <c r="B153" s="7" t="inlineStr">
        <is>
          <t>battleship</t>
        </is>
      </c>
      <c r="C153" s="7" t="inlineStr">
        <is>
          <t>Move</t>
        </is>
      </c>
      <c r="D153" t="inlineStr">
        <is>
          <t>getShotResults()</t>
        </is>
      </c>
      <c r="E153" t="inlineStr">
        <is>
          <t>Move.getShotResults()</t>
        </is>
      </c>
      <c r="F153" s="8" t="n">
        <v>1</v>
      </c>
      <c r="G153" s="8" t="n">
        <v>0</v>
      </c>
      <c r="H153" s="8" t="n">
        <v>4</v>
      </c>
      <c r="I153" s="9">
        <f>IF(MAX($F$2:$F$194)=MIN($F$2:$F$194),0,(F153-MIN($F$2:$F$194))/(MAX($F$2:$F$194)-MIN($F$2:$F$194)))</f>
        <v/>
      </c>
      <c r="J153" s="9">
        <f>IF(MAX($G$2:$G$194)=MIN($G$2:$G$194),0,(G153-MIN($G$2:$G$194))/(MAX($G$2:$G$194)-MIN($G$2:$G$194)))</f>
        <v/>
      </c>
      <c r="K153" s="9">
        <f>IF(MAX($H$2:$H$194)=MIN($H$2:$H$194),0,(H153-MIN($H$2:$H$194))/(MAX($H$2:$H$194)-MIN($H$2:$H$194)))</f>
        <v/>
      </c>
      <c r="L153" s="9">
        <f>I153+J153+K153</f>
        <v/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1</v>
      </c>
      <c r="S153" s="2" t="n">
        <v>0</v>
      </c>
      <c r="T153" s="3" t="n">
        <v>0</v>
      </c>
      <c r="U153" s="2" t="n">
        <v>0</v>
      </c>
      <c r="V153" s="3" t="n">
        <v>1</v>
      </c>
      <c r="W153" s="3" t="n">
        <v>80.5432</v>
      </c>
      <c r="X153" s="3" t="n">
        <v>1.5</v>
      </c>
      <c r="Y153" s="3" t="n">
        <v>12</v>
      </c>
      <c r="Z153" s="3" t="n">
        <v>0.0017</v>
      </c>
      <c r="AA153" s="2" t="n">
        <v>4</v>
      </c>
      <c r="AB153" s="2" t="n">
        <v>4</v>
      </c>
      <c r="AC153" s="3" t="n">
        <v>8</v>
      </c>
    </row>
    <row r="154">
      <c r="A154" s="7" t="inlineStr">
        <is>
          <t>Project</t>
        </is>
      </c>
      <c r="B154" s="7" t="inlineStr">
        <is>
          <t>battleship</t>
        </is>
      </c>
      <c r="C154" s="7" t="inlineStr">
        <is>
          <t>Move</t>
        </is>
      </c>
      <c r="D154" t="inlineStr">
        <is>
          <t>getShots()</t>
        </is>
      </c>
      <c r="E154" t="inlineStr">
        <is>
          <t>Move.getShots()</t>
        </is>
      </c>
      <c r="F154" s="8" t="n">
        <v>1</v>
      </c>
      <c r="G154" s="8" t="n">
        <v>0</v>
      </c>
      <c r="H154" s="8" t="n">
        <v>4</v>
      </c>
      <c r="I154" s="9">
        <f>IF(MAX($F$2:$F$194)=MIN($F$2:$F$194),0,(F154-MIN($F$2:$F$194))/(MAX($F$2:$F$194)-MIN($F$2:$F$194)))</f>
        <v/>
      </c>
      <c r="J154" s="9">
        <f>IF(MAX($G$2:$G$194)=MIN($G$2:$G$194),0,(G154-MIN($G$2:$G$194))/(MAX($G$2:$G$194)-MIN($G$2:$G$194)))</f>
        <v/>
      </c>
      <c r="K154" s="9">
        <f>IF(MAX($H$2:$H$194)=MIN($H$2:$H$194),0,(H154-MIN($H$2:$H$194))/(MAX($H$2:$H$194)-MIN($H$2:$H$194)))</f>
        <v/>
      </c>
      <c r="L154" s="9">
        <f>I154+J154+K154</f>
        <v/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1</v>
      </c>
      <c r="S154" s="2" t="n">
        <v>0</v>
      </c>
      <c r="T154" s="3" t="n">
        <v>0</v>
      </c>
      <c r="U154" s="2" t="n">
        <v>0</v>
      </c>
      <c r="V154" s="3" t="n">
        <v>1</v>
      </c>
      <c r="W154" s="3" t="n">
        <v>80.5432</v>
      </c>
      <c r="X154" s="3" t="n">
        <v>1.5</v>
      </c>
      <c r="Y154" s="3" t="n">
        <v>12</v>
      </c>
      <c r="Z154" s="3" t="n">
        <v>0.0017</v>
      </c>
      <c r="AA154" s="2" t="n">
        <v>4</v>
      </c>
      <c r="AB154" s="2" t="n">
        <v>4</v>
      </c>
      <c r="AC154" s="3" t="n">
        <v>8</v>
      </c>
    </row>
    <row r="155">
      <c r="A155" s="7" t="inlineStr">
        <is>
          <t>Project</t>
        </is>
      </c>
      <c r="B155" s="7" t="inlineStr">
        <is>
          <t>battleship</t>
        </is>
      </c>
      <c r="C155" s="7" t="inlineStr">
        <is>
          <t>Move</t>
        </is>
      </c>
      <c r="D155" t="inlineStr">
        <is>
          <t>toString()</t>
        </is>
      </c>
      <c r="E155" t="inlineStr">
        <is>
          <t>Move.toString()</t>
        </is>
      </c>
      <c r="F155" s="8" t="n">
        <v>1</v>
      </c>
      <c r="G155" s="8" t="n">
        <v>0</v>
      </c>
      <c r="H155" s="8" t="n">
        <v>8</v>
      </c>
      <c r="I155" s="9">
        <f>IF(MAX($F$2:$F$194)=MIN($F$2:$F$194),0,(F155-MIN($F$2:$F$194))/(MAX($F$2:$F$194)-MIN($F$2:$F$194)))</f>
        <v/>
      </c>
      <c r="J155" s="9">
        <f>IF(MAX($G$2:$G$194)=MIN($G$2:$G$194),0,(G155-MIN($G$2:$G$194))/(MAX($G$2:$G$194)-MIN($G$2:$G$194)))</f>
        <v/>
      </c>
      <c r="K155" s="9">
        <f>IF(MAX($H$2:$H$194)=MIN($H$2:$H$194),0,(H155-MIN($H$2:$H$194))/(MAX($H$2:$H$194)-MIN($H$2:$H$194)))</f>
        <v/>
      </c>
      <c r="L155" s="9">
        <f>I155+J155+K155</f>
        <v/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3</v>
      </c>
      <c r="S155" s="2" t="n">
        <v>1</v>
      </c>
      <c r="T155" s="3" t="n">
        <v>1</v>
      </c>
      <c r="U155" s="2" t="n">
        <v>0</v>
      </c>
      <c r="V155" s="3" t="n">
        <v>1</v>
      </c>
      <c r="W155" s="3" t="n">
        <v>69.0073</v>
      </c>
      <c r="X155" s="3" t="n">
        <v>1.5</v>
      </c>
      <c r="Y155" s="3" t="n">
        <v>62.2698</v>
      </c>
      <c r="Z155" s="3" t="n">
        <v>0.0052</v>
      </c>
      <c r="AA155" s="2" t="n">
        <v>12</v>
      </c>
      <c r="AB155" s="2" t="n">
        <v>11</v>
      </c>
      <c r="AC155" s="3" t="n">
        <v>41.5132</v>
      </c>
    </row>
    <row r="156">
      <c r="A156" s="7" t="inlineStr">
        <is>
          <t>Project</t>
        </is>
      </c>
      <c r="B156" s="7" t="inlineStr">
        <is>
          <t>battleship</t>
        </is>
      </c>
      <c r="C156" s="7" t="inlineStr">
        <is>
          <t>MoveSummary</t>
        </is>
      </c>
      <c r="D156" t="inlineStr">
        <is>
          <t>MoveSummary(int, int, int, int, int, int, int, List&lt;ShotSummary&gt;)</t>
        </is>
      </c>
      <c r="E156" t="inlineStr">
        <is>
          <t>MoveSummary.MoveSummary(int, int, int, int, int, int, int, List&lt;ShotSummary&gt;)</t>
        </is>
      </c>
      <c r="F156" s="8" t="n">
        <v>1</v>
      </c>
      <c r="G156" s="8" t="n">
        <v>8</v>
      </c>
      <c r="H156" s="8" t="n">
        <v>3</v>
      </c>
      <c r="I156" s="9">
        <f>IF(MAX($F$2:$F$194)=MIN($F$2:$F$194),0,(F156-MIN($F$2:$F$194))/(MAX($F$2:$F$194)-MIN($F$2:$F$194)))</f>
        <v/>
      </c>
      <c r="J156" s="9">
        <f>IF(MAX($G$2:$G$194)=MIN($G$2:$G$194),0,(G156-MIN($G$2:$G$194))/(MAX($G$2:$G$194)-MIN($G$2:$G$194)))</f>
        <v/>
      </c>
      <c r="K156" s="9">
        <f>IF(MAX($H$2:$H$194)=MIN($H$2:$H$194),0,(H156-MIN($H$2:$H$194))/(MAX($H$2:$H$194)-MIN($H$2:$H$194)))</f>
        <v/>
      </c>
      <c r="L156" s="9">
        <f>I156+J156+K156</f>
        <v/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1</v>
      </c>
      <c r="S156" s="2" t="n">
        <v>1</v>
      </c>
      <c r="T156" s="3" t="n">
        <v>1</v>
      </c>
      <c r="U156" s="2" t="n">
        <v>0</v>
      </c>
      <c r="V156" s="3" t="n">
        <v>0</v>
      </c>
      <c r="W156" s="3" t="n">
        <v>84.1435</v>
      </c>
      <c r="X156" s="3" t="n">
        <v>2</v>
      </c>
      <c r="Y156" s="3" t="n">
        <v>12.6797</v>
      </c>
      <c r="Z156" s="3" t="n">
        <v>0.0018</v>
      </c>
      <c r="AA156" s="2" t="n">
        <v>4</v>
      </c>
      <c r="AB156" s="2" t="n">
        <v>3</v>
      </c>
      <c r="AC156" s="3" t="n">
        <v>6.3399</v>
      </c>
    </row>
    <row r="157">
      <c r="A157" s="7" t="inlineStr">
        <is>
          <t>Project</t>
        </is>
      </c>
      <c r="B157" s="7" t="inlineStr">
        <is>
          <t>battleship</t>
        </is>
      </c>
      <c r="C157" s="7" t="inlineStr">
        <is>
          <t>MoveSummary</t>
        </is>
      </c>
      <c r="D157" t="inlineStr">
        <is>
          <t>hits()</t>
        </is>
      </c>
      <c r="E157" t="inlineStr">
        <is>
          <t>MoveSummary.hits()</t>
        </is>
      </c>
      <c r="F157" s="8" t="n">
        <v>1</v>
      </c>
      <c r="G157" s="8" t="n">
        <v>0</v>
      </c>
      <c r="H157" s="8" t="n">
        <v>1</v>
      </c>
      <c r="I157" s="9">
        <f>IF(MAX($F$2:$F$194)=MIN($F$2:$F$194),0,(F157-MIN($F$2:$F$194))/(MAX($F$2:$F$194)-MIN($F$2:$F$194)))</f>
        <v/>
      </c>
      <c r="J157" s="9">
        <f>IF(MAX($G$2:$G$194)=MIN($G$2:$G$194),0,(G157-MIN($G$2:$G$194))/(MAX($G$2:$G$194)-MIN($G$2:$G$194)))</f>
        <v/>
      </c>
      <c r="K157" s="9">
        <f>IF(MAX($H$2:$H$194)=MIN($H$2:$H$194),0,(H157-MIN($H$2:$H$194))/(MAX($H$2:$H$194)-MIN($H$2:$H$194)))</f>
        <v/>
      </c>
      <c r="L157" s="9">
        <f>I157+J157+K157</f>
        <v/>
      </c>
      <c r="M157" s="2" t="n">
        <v>0</v>
      </c>
      <c r="N157" s="2" t="n">
        <v>0</v>
      </c>
      <c r="O157" s="2" t="n">
        <v>-1</v>
      </c>
      <c r="P157" s="2" t="n">
        <v>0</v>
      </c>
      <c r="Q157" s="2" t="n">
        <v>0</v>
      </c>
      <c r="R157" s="2" t="n">
        <v>0</v>
      </c>
      <c r="S157" s="2" t="n">
        <v>0</v>
      </c>
      <c r="T157" s="3" t="n">
        <v>0</v>
      </c>
      <c r="U157" s="2" t="n">
        <v>0</v>
      </c>
      <c r="V157" s="3" t="n">
        <v>0</v>
      </c>
      <c r="W157" t="inlineStr">
        <is>
          <t>∞</t>
        </is>
      </c>
      <c r="X157" s="3" t="n">
        <v>0</v>
      </c>
      <c r="Y157" t="inlineStr">
        <is>
          <t>NaN</t>
        </is>
      </c>
      <c r="Z157" t="inlineStr">
        <is>
          <t>NaN</t>
        </is>
      </c>
      <c r="AA157" s="2" t="n">
        <v>0</v>
      </c>
      <c r="AB157" s="2" t="n">
        <v>0</v>
      </c>
      <c r="AC157" t="inlineStr">
        <is>
          <t>NaN</t>
        </is>
      </c>
    </row>
    <row r="158">
      <c r="A158" s="7" t="inlineStr">
        <is>
          <t>Project</t>
        </is>
      </c>
      <c r="B158" s="7" t="inlineStr">
        <is>
          <t>battleship</t>
        </is>
      </c>
      <c r="C158" s="7" t="inlineStr">
        <is>
          <t>MoveSummary</t>
        </is>
      </c>
      <c r="D158" t="inlineStr">
        <is>
          <t>missedShots()</t>
        </is>
      </c>
      <c r="E158" t="inlineStr">
        <is>
          <t>MoveSummary.missedShots()</t>
        </is>
      </c>
      <c r="F158" s="8" t="n">
        <v>1</v>
      </c>
      <c r="G158" s="8" t="n">
        <v>0</v>
      </c>
      <c r="H158" s="8" t="n">
        <v>1</v>
      </c>
      <c r="I158" s="9">
        <f>IF(MAX($F$2:$F$194)=MIN($F$2:$F$194),0,(F158-MIN($F$2:$F$194))/(MAX($F$2:$F$194)-MIN($F$2:$F$194)))</f>
        <v/>
      </c>
      <c r="J158" s="9">
        <f>IF(MAX($G$2:$G$194)=MIN($G$2:$G$194),0,(G158-MIN($G$2:$G$194))/(MAX($G$2:$G$194)-MIN($G$2:$G$194)))</f>
        <v/>
      </c>
      <c r="K158" s="9">
        <f>IF(MAX($H$2:$H$194)=MIN($H$2:$H$194),0,(H158-MIN($H$2:$H$194))/(MAX($H$2:$H$194)-MIN($H$2:$H$194)))</f>
        <v/>
      </c>
      <c r="L158" s="9">
        <f>I158+J158+K158</f>
        <v/>
      </c>
      <c r="M158" s="2" t="n">
        <v>0</v>
      </c>
      <c r="N158" s="2" t="n">
        <v>0</v>
      </c>
      <c r="O158" s="2" t="n">
        <v>-1</v>
      </c>
      <c r="P158" s="2" t="n">
        <v>0</v>
      </c>
      <c r="Q158" s="2" t="n">
        <v>0</v>
      </c>
      <c r="R158" s="2" t="n">
        <v>0</v>
      </c>
      <c r="S158" s="2" t="n">
        <v>0</v>
      </c>
      <c r="T158" s="3" t="n">
        <v>0</v>
      </c>
      <c r="U158" s="2" t="n">
        <v>0</v>
      </c>
      <c r="V158" s="3" t="n">
        <v>0</v>
      </c>
      <c r="W158" t="inlineStr">
        <is>
          <t>∞</t>
        </is>
      </c>
      <c r="X158" s="3" t="n">
        <v>0</v>
      </c>
      <c r="Y158" t="inlineStr">
        <is>
          <t>NaN</t>
        </is>
      </c>
      <c r="Z158" t="inlineStr">
        <is>
          <t>NaN</t>
        </is>
      </c>
      <c r="AA158" s="2" t="n">
        <v>0</v>
      </c>
      <c r="AB158" s="2" t="n">
        <v>0</v>
      </c>
      <c r="AC158" t="inlineStr">
        <is>
          <t>NaN</t>
        </is>
      </c>
    </row>
    <row r="159">
      <c r="A159" s="7" t="inlineStr">
        <is>
          <t>Project</t>
        </is>
      </c>
      <c r="B159" s="7" t="inlineStr">
        <is>
          <t>battleship</t>
        </is>
      </c>
      <c r="C159" s="7" t="inlineStr">
        <is>
          <t>MoveSummary</t>
        </is>
      </c>
      <c r="D159" t="inlineStr">
        <is>
          <t>number()</t>
        </is>
      </c>
      <c r="E159" t="inlineStr">
        <is>
          <t>MoveSummary.number()</t>
        </is>
      </c>
      <c r="F159" s="8" t="n">
        <v>1</v>
      </c>
      <c r="G159" s="8" t="n">
        <v>0</v>
      </c>
      <c r="H159" s="8" t="n">
        <v>1</v>
      </c>
      <c r="I159" s="9">
        <f>IF(MAX($F$2:$F$194)=MIN($F$2:$F$194),0,(F159-MIN($F$2:$F$194))/(MAX($F$2:$F$194)-MIN($F$2:$F$194)))</f>
        <v/>
      </c>
      <c r="J159" s="9">
        <f>IF(MAX($G$2:$G$194)=MIN($G$2:$G$194),0,(G159-MIN($G$2:$G$194))/(MAX($G$2:$G$194)-MIN($G$2:$G$194)))</f>
        <v/>
      </c>
      <c r="K159" s="9">
        <f>IF(MAX($H$2:$H$194)=MIN($H$2:$H$194),0,(H159-MIN($H$2:$H$194))/(MAX($H$2:$H$194)-MIN($H$2:$H$194)))</f>
        <v/>
      </c>
      <c r="L159" s="9">
        <f>I159+J159+K159</f>
        <v/>
      </c>
      <c r="M159" s="2" t="n">
        <v>0</v>
      </c>
      <c r="N159" s="2" t="n">
        <v>0</v>
      </c>
      <c r="O159" s="2" t="n">
        <v>-1</v>
      </c>
      <c r="P159" s="2" t="n">
        <v>0</v>
      </c>
      <c r="Q159" s="2" t="n">
        <v>0</v>
      </c>
      <c r="R159" s="2" t="n">
        <v>0</v>
      </c>
      <c r="S159" s="2" t="n">
        <v>0</v>
      </c>
      <c r="T159" s="3" t="n">
        <v>0</v>
      </c>
      <c r="U159" s="2" t="n">
        <v>0</v>
      </c>
      <c r="V159" s="3" t="n">
        <v>0</v>
      </c>
      <c r="W159" t="inlineStr">
        <is>
          <t>∞</t>
        </is>
      </c>
      <c r="X159" s="3" t="n">
        <v>0</v>
      </c>
      <c r="Y159" t="inlineStr">
        <is>
          <t>NaN</t>
        </is>
      </c>
      <c r="Z159" t="inlineStr">
        <is>
          <t>NaN</t>
        </is>
      </c>
      <c r="AA159" s="2" t="n">
        <v>0</v>
      </c>
      <c r="AB159" s="2" t="n">
        <v>0</v>
      </c>
      <c r="AC159" t="inlineStr">
        <is>
          <t>NaN</t>
        </is>
      </c>
    </row>
    <row r="160">
      <c r="A160" s="7" t="inlineStr">
        <is>
          <t>Project</t>
        </is>
      </c>
      <c r="B160" s="7" t="inlineStr">
        <is>
          <t>battleship</t>
        </is>
      </c>
      <c r="C160" s="7" t="inlineStr">
        <is>
          <t>MoveSummary</t>
        </is>
      </c>
      <c r="D160" t="inlineStr">
        <is>
          <t>outsideShots()</t>
        </is>
      </c>
      <c r="E160" t="inlineStr">
        <is>
          <t>MoveSummary.outsideShots()</t>
        </is>
      </c>
      <c r="F160" s="8" t="n">
        <v>1</v>
      </c>
      <c r="G160" s="8" t="n">
        <v>0</v>
      </c>
      <c r="H160" s="8" t="n">
        <v>1</v>
      </c>
      <c r="I160" s="9">
        <f>IF(MAX($F$2:$F$194)=MIN($F$2:$F$194),0,(F160-MIN($F$2:$F$194))/(MAX($F$2:$F$194)-MIN($F$2:$F$194)))</f>
        <v/>
      </c>
      <c r="J160" s="9">
        <f>IF(MAX($G$2:$G$194)=MIN($G$2:$G$194),0,(G160-MIN($G$2:$G$194))/(MAX($G$2:$G$194)-MIN($G$2:$G$194)))</f>
        <v/>
      </c>
      <c r="K160" s="9">
        <f>IF(MAX($H$2:$H$194)=MIN($H$2:$H$194),0,(H160-MIN($H$2:$H$194))/(MAX($H$2:$H$194)-MIN($H$2:$H$194)))</f>
        <v/>
      </c>
      <c r="L160" s="9">
        <f>I160+J160+K160</f>
        <v/>
      </c>
      <c r="M160" s="2" t="n">
        <v>0</v>
      </c>
      <c r="N160" s="2" t="n">
        <v>0</v>
      </c>
      <c r="O160" s="2" t="n">
        <v>-1</v>
      </c>
      <c r="P160" s="2" t="n">
        <v>0</v>
      </c>
      <c r="Q160" s="2" t="n">
        <v>0</v>
      </c>
      <c r="R160" s="2" t="n">
        <v>0</v>
      </c>
      <c r="S160" s="2" t="n">
        <v>0</v>
      </c>
      <c r="T160" s="3" t="n">
        <v>0</v>
      </c>
      <c r="U160" s="2" t="n">
        <v>0</v>
      </c>
      <c r="V160" s="3" t="n">
        <v>0</v>
      </c>
      <c r="W160" t="inlineStr">
        <is>
          <t>∞</t>
        </is>
      </c>
      <c r="X160" s="3" t="n">
        <v>0</v>
      </c>
      <c r="Y160" t="inlineStr">
        <is>
          <t>NaN</t>
        </is>
      </c>
      <c r="Z160" t="inlineStr">
        <is>
          <t>NaN</t>
        </is>
      </c>
      <c r="AA160" s="2" t="n">
        <v>0</v>
      </c>
      <c r="AB160" s="2" t="n">
        <v>0</v>
      </c>
      <c r="AC160" t="inlineStr">
        <is>
          <t>NaN</t>
        </is>
      </c>
    </row>
    <row r="161">
      <c r="A161" s="7" t="inlineStr">
        <is>
          <t>Project</t>
        </is>
      </c>
      <c r="B161" s="7" t="inlineStr">
        <is>
          <t>battleship</t>
        </is>
      </c>
      <c r="C161" s="7" t="inlineStr">
        <is>
          <t>MoveSummary</t>
        </is>
      </c>
      <c r="D161" t="inlineStr">
        <is>
          <t>repeatedShots()</t>
        </is>
      </c>
      <c r="E161" t="inlineStr">
        <is>
          <t>MoveSummary.repeatedShots()</t>
        </is>
      </c>
      <c r="F161" s="8" t="n">
        <v>1</v>
      </c>
      <c r="G161" s="8" t="n">
        <v>0</v>
      </c>
      <c r="H161" s="8" t="n">
        <v>1</v>
      </c>
      <c r="I161" s="9">
        <f>IF(MAX($F$2:$F$194)=MIN($F$2:$F$194),0,(F161-MIN($F$2:$F$194))/(MAX($F$2:$F$194)-MIN($F$2:$F$194)))</f>
        <v/>
      </c>
      <c r="J161" s="9">
        <f>IF(MAX($G$2:$G$194)=MIN($G$2:$G$194),0,(G161-MIN($G$2:$G$194))/(MAX($G$2:$G$194)-MIN($G$2:$G$194)))</f>
        <v/>
      </c>
      <c r="K161" s="9">
        <f>IF(MAX($H$2:$H$194)=MIN($H$2:$H$194),0,(H161-MIN($H$2:$H$194))/(MAX($H$2:$H$194)-MIN($H$2:$H$194)))</f>
        <v/>
      </c>
      <c r="L161" s="9">
        <f>I161+J161+K161</f>
        <v/>
      </c>
      <c r="M161" s="2" t="n">
        <v>0</v>
      </c>
      <c r="N161" s="2" t="n">
        <v>0</v>
      </c>
      <c r="O161" s="2" t="n">
        <v>-1</v>
      </c>
      <c r="P161" s="2" t="n">
        <v>0</v>
      </c>
      <c r="Q161" s="2" t="n">
        <v>0</v>
      </c>
      <c r="R161" s="2" t="n">
        <v>0</v>
      </c>
      <c r="S161" s="2" t="n">
        <v>0</v>
      </c>
      <c r="T161" s="3" t="n">
        <v>0</v>
      </c>
      <c r="U161" s="2" t="n">
        <v>0</v>
      </c>
      <c r="V161" s="3" t="n">
        <v>0</v>
      </c>
      <c r="W161" t="inlineStr">
        <is>
          <t>∞</t>
        </is>
      </c>
      <c r="X161" s="3" t="n">
        <v>0</v>
      </c>
      <c r="Y161" t="inlineStr">
        <is>
          <t>NaN</t>
        </is>
      </c>
      <c r="Z161" t="inlineStr">
        <is>
          <t>NaN</t>
        </is>
      </c>
      <c r="AA161" s="2" t="n">
        <v>0</v>
      </c>
      <c r="AB161" s="2" t="n">
        <v>0</v>
      </c>
      <c r="AC161" t="inlineStr">
        <is>
          <t>NaN</t>
        </is>
      </c>
    </row>
    <row r="162">
      <c r="A162" s="7" t="inlineStr">
        <is>
          <t>Project</t>
        </is>
      </c>
      <c r="B162" s="7" t="inlineStr">
        <is>
          <t>battleship</t>
        </is>
      </c>
      <c r="C162" s="7" t="inlineStr">
        <is>
          <t>MoveSummary</t>
        </is>
      </c>
      <c r="D162" t="inlineStr">
        <is>
          <t>shotSummaries()</t>
        </is>
      </c>
      <c r="E162" t="inlineStr">
        <is>
          <t>MoveSummary.shotSummaries()</t>
        </is>
      </c>
      <c r="F162" s="8" t="n">
        <v>1</v>
      </c>
      <c r="G162" s="8" t="n">
        <v>0</v>
      </c>
      <c r="H162" s="8" t="n">
        <v>1</v>
      </c>
      <c r="I162" s="9">
        <f>IF(MAX($F$2:$F$194)=MIN($F$2:$F$194),0,(F162-MIN($F$2:$F$194))/(MAX($F$2:$F$194)-MIN($F$2:$F$194)))</f>
        <v/>
      </c>
      <c r="J162" s="9">
        <f>IF(MAX($G$2:$G$194)=MIN($G$2:$G$194),0,(G162-MIN($G$2:$G$194))/(MAX($G$2:$G$194)-MIN($G$2:$G$194)))</f>
        <v/>
      </c>
      <c r="K162" s="9">
        <f>IF(MAX($H$2:$H$194)=MIN($H$2:$H$194),0,(H162-MIN($H$2:$H$194))/(MAX($H$2:$H$194)-MIN($H$2:$H$194)))</f>
        <v/>
      </c>
      <c r="L162" s="9">
        <f>I162+J162+K162</f>
        <v/>
      </c>
      <c r="M162" s="2" t="n">
        <v>0</v>
      </c>
      <c r="N162" s="2" t="n">
        <v>0</v>
      </c>
      <c r="O162" s="2" t="n">
        <v>-1</v>
      </c>
      <c r="P162" s="2" t="n">
        <v>0</v>
      </c>
      <c r="Q162" s="2" t="n">
        <v>0</v>
      </c>
      <c r="R162" s="2" t="n">
        <v>0</v>
      </c>
      <c r="S162" s="2" t="n">
        <v>0</v>
      </c>
      <c r="T162" s="3" t="n">
        <v>0</v>
      </c>
      <c r="U162" s="2" t="n">
        <v>0</v>
      </c>
      <c r="V162" s="3" t="n">
        <v>0</v>
      </c>
      <c r="W162" t="inlineStr">
        <is>
          <t>∞</t>
        </is>
      </c>
      <c r="X162" s="3" t="n">
        <v>0</v>
      </c>
      <c r="Y162" t="inlineStr">
        <is>
          <t>NaN</t>
        </is>
      </c>
      <c r="Z162" t="inlineStr">
        <is>
          <t>NaN</t>
        </is>
      </c>
      <c r="AA162" s="2" t="n">
        <v>0</v>
      </c>
      <c r="AB162" s="2" t="n">
        <v>0</v>
      </c>
      <c r="AC162" t="inlineStr">
        <is>
          <t>NaN</t>
        </is>
      </c>
    </row>
    <row r="163">
      <c r="A163" s="7" t="inlineStr">
        <is>
          <t>Project</t>
        </is>
      </c>
      <c r="B163" s="7" t="inlineStr">
        <is>
          <t>battleship</t>
        </is>
      </c>
      <c r="C163" s="7" t="inlineStr">
        <is>
          <t>MoveSummary</t>
        </is>
      </c>
      <c r="D163" t="inlineStr">
        <is>
          <t>sunkShips()</t>
        </is>
      </c>
      <c r="E163" t="inlineStr">
        <is>
          <t>MoveSummary.sunkShips()</t>
        </is>
      </c>
      <c r="F163" s="8" t="n">
        <v>1</v>
      </c>
      <c r="G163" s="8" t="n">
        <v>0</v>
      </c>
      <c r="H163" s="8" t="n">
        <v>1</v>
      </c>
      <c r="I163" s="9">
        <f>IF(MAX($F$2:$F$194)=MIN($F$2:$F$194),0,(F163-MIN($F$2:$F$194))/(MAX($F$2:$F$194)-MIN($F$2:$F$194)))</f>
        <v/>
      </c>
      <c r="J163" s="9">
        <f>IF(MAX($G$2:$G$194)=MIN($G$2:$G$194),0,(G163-MIN($G$2:$G$194))/(MAX($G$2:$G$194)-MIN($G$2:$G$194)))</f>
        <v/>
      </c>
      <c r="K163" s="9">
        <f>IF(MAX($H$2:$H$194)=MIN($H$2:$H$194),0,(H163-MIN($H$2:$H$194))/(MAX($H$2:$H$194)-MIN($H$2:$H$194)))</f>
        <v/>
      </c>
      <c r="L163" s="9">
        <f>I163+J163+K163</f>
        <v/>
      </c>
      <c r="M163" s="2" t="n">
        <v>0</v>
      </c>
      <c r="N163" s="2" t="n">
        <v>0</v>
      </c>
      <c r="O163" s="2" t="n">
        <v>-1</v>
      </c>
      <c r="P163" s="2" t="n">
        <v>0</v>
      </c>
      <c r="Q163" s="2" t="n">
        <v>0</v>
      </c>
      <c r="R163" s="2" t="n">
        <v>0</v>
      </c>
      <c r="S163" s="2" t="n">
        <v>0</v>
      </c>
      <c r="T163" s="3" t="n">
        <v>0</v>
      </c>
      <c r="U163" s="2" t="n">
        <v>0</v>
      </c>
      <c r="V163" s="3" t="n">
        <v>0</v>
      </c>
      <c r="W163" t="inlineStr">
        <is>
          <t>∞</t>
        </is>
      </c>
      <c r="X163" s="3" t="n">
        <v>0</v>
      </c>
      <c r="Y163" t="inlineStr">
        <is>
          <t>NaN</t>
        </is>
      </c>
      <c r="Z163" t="inlineStr">
        <is>
          <t>NaN</t>
        </is>
      </c>
      <c r="AA163" s="2" t="n">
        <v>0</v>
      </c>
      <c r="AB163" s="2" t="n">
        <v>0</v>
      </c>
      <c r="AC163" t="inlineStr">
        <is>
          <t>NaN</t>
        </is>
      </c>
    </row>
    <row r="164">
      <c r="A164" s="7" t="inlineStr">
        <is>
          <t>Project</t>
        </is>
      </c>
      <c r="B164" s="7" t="inlineStr">
        <is>
          <t>battleship</t>
        </is>
      </c>
      <c r="C164" s="7" t="inlineStr">
        <is>
          <t>MoveSummary</t>
        </is>
      </c>
      <c r="D164" t="inlineStr">
        <is>
          <t>validShots()</t>
        </is>
      </c>
      <c r="E164" t="inlineStr">
        <is>
          <t>MoveSummary.validShots()</t>
        </is>
      </c>
      <c r="F164" s="8" t="n">
        <v>1</v>
      </c>
      <c r="G164" s="8" t="n">
        <v>0</v>
      </c>
      <c r="H164" s="8" t="n">
        <v>1</v>
      </c>
      <c r="I164" s="9">
        <f>IF(MAX($F$2:$F$194)=MIN($F$2:$F$194),0,(F164-MIN($F$2:$F$194))/(MAX($F$2:$F$194)-MIN($F$2:$F$194)))</f>
        <v/>
      </c>
      <c r="J164" s="9">
        <f>IF(MAX($G$2:$G$194)=MIN($G$2:$G$194),0,(G164-MIN($G$2:$G$194))/(MAX($G$2:$G$194)-MIN($G$2:$G$194)))</f>
        <v/>
      </c>
      <c r="K164" s="9">
        <f>IF(MAX($H$2:$H$194)=MIN($H$2:$H$194),0,(H164-MIN($H$2:$H$194))/(MAX($H$2:$H$194)-MIN($H$2:$H$194)))</f>
        <v/>
      </c>
      <c r="L164" s="9">
        <f>I164+J164+K164</f>
        <v/>
      </c>
      <c r="M164" s="2" t="n">
        <v>0</v>
      </c>
      <c r="N164" s="2" t="n">
        <v>0</v>
      </c>
      <c r="O164" s="2" t="n">
        <v>-1</v>
      </c>
      <c r="P164" s="2" t="n">
        <v>0</v>
      </c>
      <c r="Q164" s="2" t="n">
        <v>0</v>
      </c>
      <c r="R164" s="2" t="n">
        <v>0</v>
      </c>
      <c r="S164" s="2" t="n">
        <v>0</v>
      </c>
      <c r="T164" s="3" t="n">
        <v>0</v>
      </c>
      <c r="U164" s="2" t="n">
        <v>0</v>
      </c>
      <c r="V164" s="3" t="n">
        <v>0</v>
      </c>
      <c r="W164" t="inlineStr">
        <is>
          <t>∞</t>
        </is>
      </c>
      <c r="X164" s="3" t="n">
        <v>0</v>
      </c>
      <c r="Y164" t="inlineStr">
        <is>
          <t>NaN</t>
        </is>
      </c>
      <c r="Z164" t="inlineStr">
        <is>
          <t>NaN</t>
        </is>
      </c>
      <c r="AA164" s="2" t="n">
        <v>0</v>
      </c>
      <c r="AB164" s="2" t="n">
        <v>0</v>
      </c>
      <c r="AC164" t="inlineStr">
        <is>
          <t>NaN</t>
        </is>
      </c>
    </row>
    <row r="165">
      <c r="A165" s="7" t="inlineStr">
        <is>
          <t>Project</t>
        </is>
      </c>
      <c r="B165" s="7" t="inlineStr">
        <is>
          <t>battleship</t>
        </is>
      </c>
      <c r="C165" s="7" t="inlineStr">
        <is>
          <t>PdfExporter</t>
        </is>
      </c>
      <c r="D165" t="inlineStr">
        <is>
          <t>PdfExporter()</t>
        </is>
      </c>
      <c r="E165" t="inlineStr">
        <is>
          <t>PdfExporter.PdfExporter()</t>
        </is>
      </c>
      <c r="F165" s="8" t="n">
        <v>1</v>
      </c>
      <c r="G165" s="8" t="n">
        <v>0</v>
      </c>
      <c r="H165" s="8" t="n">
        <v>2</v>
      </c>
      <c r="I165" s="9">
        <f>IF(MAX($F$2:$F$194)=MIN($F$2:$F$194),0,(F165-MIN($F$2:$F$194))/(MAX($F$2:$F$194)-MIN($F$2:$F$194)))</f>
        <v/>
      </c>
      <c r="J165" s="9">
        <f>IF(MAX($G$2:$G$194)=MIN($G$2:$G$194),0,(G165-MIN($G$2:$G$194))/(MAX($G$2:$G$194)-MIN($G$2:$G$194)))</f>
        <v/>
      </c>
      <c r="K165" s="9">
        <f>IF(MAX($H$2:$H$194)=MIN($H$2:$H$194),0,(H165-MIN($H$2:$H$194))/(MAX($H$2:$H$194)-MIN($H$2:$H$194)))</f>
        <v/>
      </c>
      <c r="L165" s="9">
        <f>I165+J165+K165</f>
        <v/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3" t="n">
        <v>0</v>
      </c>
      <c r="U165" s="2" t="n">
        <v>0</v>
      </c>
      <c r="V165" s="3" t="n">
        <v>0</v>
      </c>
      <c r="W165" t="inlineStr">
        <is>
          <t>∞</t>
        </is>
      </c>
      <c r="X165" s="3" t="n">
        <v>0</v>
      </c>
      <c r="Y165" s="3" t="n">
        <v>0</v>
      </c>
      <c r="Z165" s="3" t="n">
        <v>0</v>
      </c>
      <c r="AA165" s="2" t="n">
        <v>1</v>
      </c>
      <c r="AB165" s="2" t="n">
        <v>1</v>
      </c>
      <c r="AC165" s="3" t="n">
        <v>0</v>
      </c>
    </row>
    <row r="166">
      <c r="A166" s="7" t="inlineStr">
        <is>
          <t>Project</t>
        </is>
      </c>
      <c r="B166" s="7" t="inlineStr">
        <is>
          <t>battleship</t>
        </is>
      </c>
      <c r="C166" s="7" t="inlineStr">
        <is>
          <t>PdfExporter</t>
        </is>
      </c>
      <c r="D166" t="inlineStr">
        <is>
          <t>addBlankLine(Document)</t>
        </is>
      </c>
      <c r="E166" t="inlineStr">
        <is>
          <t>PdfExporter.addBlankLine(Document)</t>
        </is>
      </c>
      <c r="F166" s="8" t="n">
        <v>1</v>
      </c>
      <c r="G166" s="8" t="n">
        <v>1</v>
      </c>
      <c r="H166" s="8" t="n">
        <v>3</v>
      </c>
      <c r="I166" s="9">
        <f>IF(MAX($F$2:$F$194)=MIN($F$2:$F$194),0,(F166-MIN($F$2:$F$194))/(MAX($F$2:$F$194)-MIN($F$2:$F$194)))</f>
        <v/>
      </c>
      <c r="J166" s="9">
        <f>IF(MAX($G$2:$G$194)=MIN($G$2:$G$194),0,(G166-MIN($G$2:$G$194))/(MAX($G$2:$G$194)-MIN($G$2:$G$194)))</f>
        <v/>
      </c>
      <c r="K166" s="9">
        <f>IF(MAX($H$2:$H$194)=MIN($H$2:$H$194),0,(H166-MIN($H$2:$H$194))/(MAX($H$2:$H$194)-MIN($H$2:$H$194)))</f>
        <v/>
      </c>
      <c r="L166" s="9">
        <f>I166+J166+K166</f>
        <v/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1</v>
      </c>
      <c r="S166" s="2" t="n">
        <v>1</v>
      </c>
      <c r="T166" s="3" t="n">
        <v>1</v>
      </c>
      <c r="U166" s="2" t="n">
        <v>0</v>
      </c>
      <c r="V166" s="3" t="n">
        <v>0</v>
      </c>
      <c r="W166" s="3" t="n">
        <v>79.9278</v>
      </c>
      <c r="X166" s="3" t="n">
        <v>3</v>
      </c>
      <c r="Y166" s="3" t="n">
        <v>72</v>
      </c>
      <c r="Z166" s="3" t="n">
        <v>0.0058</v>
      </c>
      <c r="AA166" s="2" t="n">
        <v>8</v>
      </c>
      <c r="AB166" s="2" t="n">
        <v>8</v>
      </c>
      <c r="AC166" s="3" t="n">
        <v>24</v>
      </c>
    </row>
    <row r="167">
      <c r="A167" s="7" t="inlineStr">
        <is>
          <t>Project</t>
        </is>
      </c>
      <c r="B167" s="7" t="inlineStr">
        <is>
          <t>battleship</t>
        </is>
      </c>
      <c r="C167" s="7" t="inlineStr">
        <is>
          <t>PdfExporter</t>
        </is>
      </c>
      <c r="D167" t="inlineStr">
        <is>
          <t>addLine(Document, String)</t>
        </is>
      </c>
      <c r="E167" t="inlineStr">
        <is>
          <t>PdfExporter.addLine(Document, String)</t>
        </is>
      </c>
      <c r="F167" s="8" t="n">
        <v>1</v>
      </c>
      <c r="G167" s="8" t="n">
        <v>2</v>
      </c>
      <c r="H167" s="8" t="n">
        <v>3</v>
      </c>
      <c r="I167" s="9">
        <f>IF(MAX($F$2:$F$194)=MIN($F$2:$F$194),0,(F167-MIN($F$2:$F$194))/(MAX($F$2:$F$194)-MIN($F$2:$F$194)))</f>
        <v/>
      </c>
      <c r="J167" s="9">
        <f>IF(MAX($G$2:$G$194)=MIN($G$2:$G$194),0,(G167-MIN($G$2:$G$194))/(MAX($G$2:$G$194)-MIN($G$2:$G$194)))</f>
        <v/>
      </c>
      <c r="K167" s="9">
        <f>IF(MAX($H$2:$H$194)=MIN($H$2:$H$194),0,(H167-MIN($H$2:$H$194))/(MAX($H$2:$H$194)-MIN($H$2:$H$194)))</f>
        <v/>
      </c>
      <c r="L167" s="9">
        <f>I167+J167+K167</f>
        <v/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2</v>
      </c>
      <c r="S167" s="2" t="n">
        <v>1</v>
      </c>
      <c r="T167" s="3" t="n">
        <v>1</v>
      </c>
      <c r="U167" s="2" t="n">
        <v>0</v>
      </c>
      <c r="V167" s="3" t="n">
        <v>0</v>
      </c>
      <c r="W167" s="3" t="n">
        <v>79.9278</v>
      </c>
      <c r="X167" s="3" t="n">
        <v>3</v>
      </c>
      <c r="Y167" s="3" t="n">
        <v>72</v>
      </c>
      <c r="Z167" s="3" t="n">
        <v>0.0058</v>
      </c>
      <c r="AA167" s="2" t="n">
        <v>8</v>
      </c>
      <c r="AB167" s="2" t="n">
        <v>8</v>
      </c>
      <c r="AC167" s="3" t="n">
        <v>24</v>
      </c>
    </row>
    <row r="168">
      <c r="A168" s="7" t="inlineStr">
        <is>
          <t>Project</t>
        </is>
      </c>
      <c r="B168" s="7" t="inlineStr">
        <is>
          <t>battleship</t>
        </is>
      </c>
      <c r="C168" s="7" t="inlineStr">
        <is>
          <t>PdfExporter</t>
        </is>
      </c>
      <c r="D168" t="inlineStr">
        <is>
          <t>export(GameSummary)</t>
        </is>
      </c>
      <c r="E168" t="inlineStr">
        <is>
          <t>PdfExporter.export(GameSummary)</t>
        </is>
      </c>
      <c r="F168" s="8" t="n">
        <v>1</v>
      </c>
      <c r="G168" s="8" t="n">
        <v>1</v>
      </c>
      <c r="H168" s="8" t="n">
        <v>3</v>
      </c>
      <c r="I168" s="9">
        <f>IF(MAX($F$2:$F$194)=MIN($F$2:$F$194),0,(F168-MIN($F$2:$F$194))/(MAX($F$2:$F$194)-MIN($F$2:$F$194)))</f>
        <v/>
      </c>
      <c r="J168" s="9">
        <f>IF(MAX($G$2:$G$194)=MIN($G$2:$G$194),0,(G168-MIN($G$2:$G$194))/(MAX($G$2:$G$194)-MIN($G$2:$G$194)))</f>
        <v/>
      </c>
      <c r="K168" s="9">
        <f>IF(MAX($H$2:$H$194)=MIN($H$2:$H$194),0,(H168-MIN($H$2:$H$194))/(MAX($H$2:$H$194)-MIN($H$2:$H$194)))</f>
        <v/>
      </c>
      <c r="L168" s="9">
        <f>I168+J168+K168</f>
        <v/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2</v>
      </c>
      <c r="S168" s="2" t="n">
        <v>0</v>
      </c>
      <c r="T168" s="3" t="n">
        <v>0</v>
      </c>
      <c r="U168" s="2" t="n">
        <v>0</v>
      </c>
      <c r="V168" s="3" t="n">
        <v>1</v>
      </c>
      <c r="W168" s="3" t="n">
        <v>80.6382</v>
      </c>
      <c r="X168" s="3" t="n">
        <v>2.5</v>
      </c>
      <c r="Y168" s="3" t="n">
        <v>49.1287</v>
      </c>
      <c r="Z168" s="3" t="n">
        <v>0.0045</v>
      </c>
      <c r="AA168" s="2" t="n">
        <v>7</v>
      </c>
      <c r="AB168" s="2" t="n">
        <v>7</v>
      </c>
      <c r="AC168" s="3" t="n">
        <v>19.6515</v>
      </c>
    </row>
    <row r="169">
      <c r="A169" s="7" t="inlineStr">
        <is>
          <t>Project</t>
        </is>
      </c>
      <c r="B169" s="7" t="inlineStr">
        <is>
          <t>battleship</t>
        </is>
      </c>
      <c r="C169" s="7" t="inlineStr">
        <is>
          <t>Position</t>
        </is>
      </c>
      <c r="D169" t="inlineStr">
        <is>
          <t>Position(char, int)</t>
        </is>
      </c>
      <c r="E169" t="inlineStr">
        <is>
          <t>Position.Position(char, int)</t>
        </is>
      </c>
      <c r="F169" s="8" t="n">
        <v>1</v>
      </c>
      <c r="G169" s="8" t="n">
        <v>2</v>
      </c>
      <c r="H169" s="8" t="n">
        <v>13</v>
      </c>
      <c r="I169" s="9">
        <f>IF(MAX($F$2:$F$194)=MIN($F$2:$F$194),0,(F169-MIN($F$2:$F$194))/(MAX($F$2:$F$194)-MIN($F$2:$F$194)))</f>
        <v/>
      </c>
      <c r="J169" s="9">
        <f>IF(MAX($G$2:$G$194)=MIN($G$2:$G$194),0,(G169-MIN($G$2:$G$194))/(MAX($G$2:$G$194)-MIN($G$2:$G$194)))</f>
        <v/>
      </c>
      <c r="K169" s="9">
        <f>IF(MAX($H$2:$H$194)=MIN($H$2:$H$194),0,(H169-MIN($H$2:$H$194))/(MAX($H$2:$H$194)-MIN($H$2:$H$194)))</f>
        <v/>
      </c>
      <c r="L169" s="9">
        <f>I169+J169+K169</f>
        <v/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6</v>
      </c>
      <c r="S169" s="2" t="n">
        <v>1</v>
      </c>
      <c r="T169" s="3" t="n">
        <v>1</v>
      </c>
      <c r="U169" s="2" t="n">
        <v>0</v>
      </c>
      <c r="V169" s="3" t="n">
        <v>1</v>
      </c>
      <c r="W169" s="3" t="n">
        <v>62.452</v>
      </c>
      <c r="X169" s="3" t="n">
        <v>3.3333</v>
      </c>
      <c r="Y169" s="3" t="n">
        <v>260.4594</v>
      </c>
      <c r="Z169" s="3" t="n">
        <v>0.0136</v>
      </c>
      <c r="AA169" s="2" t="n">
        <v>20</v>
      </c>
      <c r="AB169" s="2" t="n">
        <v>15</v>
      </c>
      <c r="AC169" s="3" t="n">
        <v>78.1378</v>
      </c>
    </row>
    <row r="170">
      <c r="A170" s="7" t="inlineStr">
        <is>
          <t>Project</t>
        </is>
      </c>
      <c r="B170" s="7" t="inlineStr">
        <is>
          <t>battleship</t>
        </is>
      </c>
      <c r="C170" s="7" t="inlineStr">
        <is>
          <t>Position</t>
        </is>
      </c>
      <c r="D170" t="inlineStr">
        <is>
          <t>Position(int, int)</t>
        </is>
      </c>
      <c r="E170" t="inlineStr">
        <is>
          <t>Position.Position(int, int)</t>
        </is>
      </c>
      <c r="F170" s="8" t="n">
        <v>1</v>
      </c>
      <c r="G170" s="8" t="n">
        <v>2</v>
      </c>
      <c r="H170" s="8" t="n">
        <v>13</v>
      </c>
      <c r="I170" s="9">
        <f>IF(MAX($F$2:$F$194)=MIN($F$2:$F$194),0,(F170-MIN($F$2:$F$194))/(MAX($F$2:$F$194)-MIN($F$2:$F$194)))</f>
        <v/>
      </c>
      <c r="J170" s="9">
        <f>IF(MAX($G$2:$G$194)=MIN($G$2:$G$194),0,(G170-MIN($G$2:$G$194))/(MAX($G$2:$G$194)-MIN($G$2:$G$194)))</f>
        <v/>
      </c>
      <c r="K170" s="9">
        <f>IF(MAX($H$2:$H$194)=MIN($H$2:$H$194),0,(H170-MIN($H$2:$H$194))/(MAX($H$2:$H$194)-MIN($H$2:$H$194)))</f>
        <v/>
      </c>
      <c r="L170" s="9">
        <f>I170+J170+K170</f>
        <v/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6</v>
      </c>
      <c r="S170" s="2" t="n">
        <v>0</v>
      </c>
      <c r="T170" s="3" t="n">
        <v>0</v>
      </c>
      <c r="U170" s="2" t="n">
        <v>0</v>
      </c>
      <c r="V170" s="3" t="n">
        <v>1</v>
      </c>
      <c r="W170" s="3" t="n">
        <v>63.8657</v>
      </c>
      <c r="X170" s="3" t="n">
        <v>1.7143</v>
      </c>
      <c r="Y170" s="3" t="n">
        <v>85.42100000000001</v>
      </c>
      <c r="Z170" s="3" t="n">
        <v>0.0065</v>
      </c>
      <c r="AA170" s="2" t="n">
        <v>15</v>
      </c>
      <c r="AB170" s="2" t="n">
        <v>10</v>
      </c>
      <c r="AC170" s="3" t="n">
        <v>49.8289</v>
      </c>
    </row>
    <row r="171">
      <c r="A171" s="7" t="inlineStr">
        <is>
          <t>Project</t>
        </is>
      </c>
      <c r="B171" s="7" t="inlineStr">
        <is>
          <t>battleship</t>
        </is>
      </c>
      <c r="C171" s="7" t="inlineStr">
        <is>
          <t>Position</t>
        </is>
      </c>
      <c r="D171" t="inlineStr">
        <is>
          <t>getClassicColumn()</t>
        </is>
      </c>
      <c r="E171" t="inlineStr">
        <is>
          <t>Position.getClassicColumn()</t>
        </is>
      </c>
      <c r="F171" s="8" t="n">
        <v>1</v>
      </c>
      <c r="G171" s="8" t="n">
        <v>0</v>
      </c>
      <c r="H171" s="8" t="n">
        <v>8</v>
      </c>
      <c r="I171" s="9">
        <f>IF(MAX($F$2:$F$194)=MIN($F$2:$F$194),0,(F171-MIN($F$2:$F$194))/(MAX($F$2:$F$194)-MIN($F$2:$F$194)))</f>
        <v/>
      </c>
      <c r="J171" s="9">
        <f>IF(MAX($G$2:$G$194)=MIN($G$2:$G$194),0,(G171-MIN($G$2:$G$194))/(MAX($G$2:$G$194)-MIN($G$2:$G$194)))</f>
        <v/>
      </c>
      <c r="K171" s="9">
        <f>IF(MAX($H$2:$H$194)=MIN($H$2:$H$194),0,(H171-MIN($H$2:$H$194))/(MAX($H$2:$H$194)-MIN($H$2:$H$194)))</f>
        <v/>
      </c>
      <c r="L171" s="9">
        <f>I171+J171+K171</f>
        <v/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1</v>
      </c>
      <c r="S171" s="2" t="n">
        <v>0</v>
      </c>
      <c r="T171" s="3" t="n">
        <v>0</v>
      </c>
      <c r="U171" s="2" t="n">
        <v>0</v>
      </c>
      <c r="V171" s="3" t="n">
        <v>1</v>
      </c>
      <c r="W171" s="3" t="n">
        <v>72.065</v>
      </c>
      <c r="X171" s="3" t="n">
        <v>2</v>
      </c>
      <c r="Y171" s="3" t="n">
        <v>31.0196</v>
      </c>
      <c r="Z171" s="3" t="n">
        <v>0.0033</v>
      </c>
      <c r="AA171" s="2" t="n">
        <v>6</v>
      </c>
      <c r="AB171" s="2" t="n">
        <v>6</v>
      </c>
      <c r="AC171" s="3" t="n">
        <v>15.5098</v>
      </c>
    </row>
    <row r="172">
      <c r="A172" s="7" t="inlineStr">
        <is>
          <t>Project</t>
        </is>
      </c>
      <c r="B172" s="7" t="inlineStr">
        <is>
          <t>battleship</t>
        </is>
      </c>
      <c r="C172" s="7" t="inlineStr">
        <is>
          <t>Position</t>
        </is>
      </c>
      <c r="D172" t="inlineStr">
        <is>
          <t>getClassicRow()</t>
        </is>
      </c>
      <c r="E172" t="inlineStr">
        <is>
          <t>Position.getClassicRow()</t>
        </is>
      </c>
      <c r="F172" s="8" t="n">
        <v>1</v>
      </c>
      <c r="G172" s="8" t="n">
        <v>0</v>
      </c>
      <c r="H172" s="8" t="n">
        <v>8</v>
      </c>
      <c r="I172" s="9">
        <f>IF(MAX($F$2:$F$194)=MIN($F$2:$F$194),0,(F172-MIN($F$2:$F$194))/(MAX($F$2:$F$194)-MIN($F$2:$F$194)))</f>
        <v/>
      </c>
      <c r="J172" s="9">
        <f>IF(MAX($G$2:$G$194)=MIN($G$2:$G$194),0,(G172-MIN($G$2:$G$194))/(MAX($G$2:$G$194)-MIN($G$2:$G$194)))</f>
        <v/>
      </c>
      <c r="K172" s="9">
        <f>IF(MAX($H$2:$H$194)=MIN($H$2:$H$194),0,(H172-MIN($H$2:$H$194))/(MAX($H$2:$H$194)-MIN($H$2:$H$194)))</f>
        <v/>
      </c>
      <c r="L172" s="9">
        <f>I172+J172+K172</f>
        <v/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1</v>
      </c>
      <c r="S172" s="2" t="n">
        <v>0</v>
      </c>
      <c r="T172" s="3" t="n">
        <v>0</v>
      </c>
      <c r="U172" s="2" t="n">
        <v>0</v>
      </c>
      <c r="V172" s="3" t="n">
        <v>1</v>
      </c>
      <c r="W172" s="3" t="n">
        <v>71.5106</v>
      </c>
      <c r="X172" s="3" t="n">
        <v>2</v>
      </c>
      <c r="Y172" s="3" t="n">
        <v>36.1895</v>
      </c>
      <c r="Z172" s="3" t="n">
        <v>0.0036</v>
      </c>
      <c r="AA172" s="2" t="n">
        <v>7</v>
      </c>
      <c r="AB172" s="2" t="n">
        <v>6</v>
      </c>
      <c r="AC172" s="3" t="n">
        <v>18.0947</v>
      </c>
    </row>
    <row r="173">
      <c r="A173" s="7" t="inlineStr">
        <is>
          <t>Project</t>
        </is>
      </c>
      <c r="B173" s="7" t="inlineStr">
        <is>
          <t>battleship</t>
        </is>
      </c>
      <c r="C173" s="7" t="inlineStr">
        <is>
          <t>Position</t>
        </is>
      </c>
      <c r="D173" t="inlineStr">
        <is>
          <t>getColumn()</t>
        </is>
      </c>
      <c r="E173" t="inlineStr">
        <is>
          <t>Position.getColumn()</t>
        </is>
      </c>
      <c r="F173" s="8" t="n">
        <v>1</v>
      </c>
      <c r="G173" s="8" t="n">
        <v>0</v>
      </c>
      <c r="H173" s="8" t="n">
        <v>9</v>
      </c>
      <c r="I173" s="9">
        <f>IF(MAX($F$2:$F$194)=MIN($F$2:$F$194),0,(F173-MIN($F$2:$F$194))/(MAX($F$2:$F$194)-MIN($F$2:$F$194)))</f>
        <v/>
      </c>
      <c r="J173" s="9">
        <f>IF(MAX($G$2:$G$194)=MIN($G$2:$G$194),0,(G173-MIN($G$2:$G$194))/(MAX($G$2:$G$194)-MIN($G$2:$G$194)))</f>
        <v/>
      </c>
      <c r="K173" s="9">
        <f>IF(MAX($H$2:$H$194)=MIN($H$2:$H$194),0,(H173-MIN($H$2:$H$194))/(MAX($H$2:$H$194)-MIN($H$2:$H$194)))</f>
        <v/>
      </c>
      <c r="L173" s="9">
        <f>I173+J173+K173</f>
        <v/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1</v>
      </c>
      <c r="S173" s="2" t="n">
        <v>0</v>
      </c>
      <c r="T173" s="3" t="n">
        <v>0</v>
      </c>
      <c r="U173" s="2" t="n">
        <v>0</v>
      </c>
      <c r="V173" s="3" t="n">
        <v>1</v>
      </c>
      <c r="W173" s="3" t="n">
        <v>72.86069999999999</v>
      </c>
      <c r="X173" s="3" t="n">
        <v>1.5</v>
      </c>
      <c r="Y173" s="3" t="n">
        <v>12</v>
      </c>
      <c r="Z173" s="3" t="n">
        <v>0.0017</v>
      </c>
      <c r="AA173" s="2" t="n">
        <v>4</v>
      </c>
      <c r="AB173" s="2" t="n">
        <v>4</v>
      </c>
      <c r="AC173" s="3" t="n">
        <v>8</v>
      </c>
    </row>
    <row r="174">
      <c r="A174" s="7" t="inlineStr">
        <is>
          <t>Project</t>
        </is>
      </c>
      <c r="B174" s="7" t="inlineStr">
        <is>
          <t>battleship</t>
        </is>
      </c>
      <c r="C174" s="7" t="inlineStr">
        <is>
          <t>Position</t>
        </is>
      </c>
      <c r="D174" t="inlineStr">
        <is>
          <t>getRow()</t>
        </is>
      </c>
      <c r="E174" t="inlineStr">
        <is>
          <t>Position.getRow()</t>
        </is>
      </c>
      <c r="F174" s="8" t="n">
        <v>1</v>
      </c>
      <c r="G174" s="8" t="n">
        <v>0</v>
      </c>
      <c r="H174" s="8" t="n">
        <v>9</v>
      </c>
      <c r="I174" s="9">
        <f>IF(MAX($F$2:$F$194)=MIN($F$2:$F$194),0,(F174-MIN($F$2:$F$194))/(MAX($F$2:$F$194)-MIN($F$2:$F$194)))</f>
        <v/>
      </c>
      <c r="J174" s="9">
        <f>IF(MAX($G$2:$G$194)=MIN($G$2:$G$194),0,(G174-MIN($G$2:$G$194))/(MAX($G$2:$G$194)-MIN($G$2:$G$194)))</f>
        <v/>
      </c>
      <c r="K174" s="9">
        <f>IF(MAX($H$2:$H$194)=MIN($H$2:$H$194),0,(H174-MIN($H$2:$H$194))/(MAX($H$2:$H$194)-MIN($H$2:$H$194)))</f>
        <v/>
      </c>
      <c r="L174" s="9">
        <f>I174+J174+K174</f>
        <v/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1</v>
      </c>
      <c r="S174" s="2" t="n">
        <v>0</v>
      </c>
      <c r="T174" s="3" t="n">
        <v>0</v>
      </c>
      <c r="U174" s="2" t="n">
        <v>0</v>
      </c>
      <c r="V174" s="3" t="n">
        <v>1</v>
      </c>
      <c r="W174" s="3" t="n">
        <v>72.86069999999999</v>
      </c>
      <c r="X174" s="3" t="n">
        <v>1.5</v>
      </c>
      <c r="Y174" s="3" t="n">
        <v>12</v>
      </c>
      <c r="Z174" s="3" t="n">
        <v>0.0017</v>
      </c>
      <c r="AA174" s="2" t="n">
        <v>4</v>
      </c>
      <c r="AB174" s="2" t="n">
        <v>4</v>
      </c>
      <c r="AC174" s="3" t="n">
        <v>8</v>
      </c>
    </row>
    <row r="175">
      <c r="A175" s="7" t="inlineStr">
        <is>
          <t>Project</t>
        </is>
      </c>
      <c r="B175" s="7" t="inlineStr">
        <is>
          <t>battleship</t>
        </is>
      </c>
      <c r="C175" s="7" t="inlineStr">
        <is>
          <t>Position</t>
        </is>
      </c>
      <c r="D175" t="inlineStr">
        <is>
          <t>hashCode()</t>
        </is>
      </c>
      <c r="E175" t="inlineStr">
        <is>
          <t>Position.hashCode()</t>
        </is>
      </c>
      <c r="F175" s="8" t="n">
        <v>1</v>
      </c>
      <c r="G175" s="8" t="n">
        <v>0</v>
      </c>
      <c r="H175" s="8" t="n">
        <v>9</v>
      </c>
      <c r="I175" s="9">
        <f>IF(MAX($F$2:$F$194)=MIN($F$2:$F$194),0,(F175-MIN($F$2:$F$194))/(MAX($F$2:$F$194)-MIN($F$2:$F$194)))</f>
        <v/>
      </c>
      <c r="J175" s="9">
        <f>IF(MAX($G$2:$G$194)=MIN($G$2:$G$194),0,(G175-MIN($G$2:$G$194))/(MAX($G$2:$G$194)-MIN($G$2:$G$194)))</f>
        <v/>
      </c>
      <c r="K175" s="9">
        <f>IF(MAX($H$2:$H$194)=MIN($H$2:$H$194),0,(H175-MIN($H$2:$H$194))/(MAX($H$2:$H$194)-MIN($H$2:$H$194)))</f>
        <v/>
      </c>
      <c r="L175" s="9">
        <f>I175+J175+K175</f>
        <v/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4</v>
      </c>
      <c r="S175" s="2" t="n">
        <v>1</v>
      </c>
      <c r="T175" s="3" t="n">
        <v>1</v>
      </c>
      <c r="U175" s="2" t="n">
        <v>0</v>
      </c>
      <c r="V175" s="3" t="n">
        <v>1</v>
      </c>
      <c r="W175" s="3" t="n">
        <v>69.51990000000001</v>
      </c>
      <c r="X175" s="3" t="n">
        <v>2</v>
      </c>
      <c r="Y175" s="3" t="n">
        <v>48</v>
      </c>
      <c r="Z175" s="3" t="n">
        <v>0.0044</v>
      </c>
      <c r="AA175" s="2" t="n">
        <v>8</v>
      </c>
      <c r="AB175" s="2" t="n">
        <v>8</v>
      </c>
      <c r="AC175" s="3" t="n">
        <v>24</v>
      </c>
    </row>
    <row r="176">
      <c r="A176" s="7" t="inlineStr">
        <is>
          <t>Project</t>
        </is>
      </c>
      <c r="B176" s="7" t="inlineStr">
        <is>
          <t>battleship</t>
        </is>
      </c>
      <c r="C176" s="7" t="inlineStr">
        <is>
          <t>Position</t>
        </is>
      </c>
      <c r="D176" t="inlineStr">
        <is>
          <t>isHit()</t>
        </is>
      </c>
      <c r="E176" t="inlineStr">
        <is>
          <t>Position.isHit()</t>
        </is>
      </c>
      <c r="F176" s="8" t="n">
        <v>1</v>
      </c>
      <c r="G176" s="8" t="n">
        <v>0</v>
      </c>
      <c r="H176" s="8" t="n">
        <v>9</v>
      </c>
      <c r="I176" s="9">
        <f>IF(MAX($F$2:$F$194)=MIN($F$2:$F$194),0,(F176-MIN($F$2:$F$194))/(MAX($F$2:$F$194)-MIN($F$2:$F$194)))</f>
        <v/>
      </c>
      <c r="J176" s="9">
        <f>IF(MAX($G$2:$G$194)=MIN($G$2:$G$194),0,(G176-MIN($G$2:$G$194))/(MAX($G$2:$G$194)-MIN($G$2:$G$194)))</f>
        <v/>
      </c>
      <c r="K176" s="9">
        <f>IF(MAX($H$2:$H$194)=MIN($H$2:$H$194),0,(H176-MIN($H$2:$H$194))/(MAX($H$2:$H$194)-MIN($H$2:$H$194)))</f>
        <v/>
      </c>
      <c r="L176" s="9">
        <f>I176+J176+K176</f>
        <v/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1</v>
      </c>
      <c r="S176" s="2" t="n">
        <v>0</v>
      </c>
      <c r="T176" s="3" t="n">
        <v>0</v>
      </c>
      <c r="U176" s="2" t="n">
        <v>0</v>
      </c>
      <c r="V176" s="3" t="n">
        <v>1</v>
      </c>
      <c r="W176" s="3" t="n">
        <v>72.86069999999999</v>
      </c>
      <c r="X176" s="3" t="n">
        <v>1.5</v>
      </c>
      <c r="Y176" s="3" t="n">
        <v>12</v>
      </c>
      <c r="Z176" s="3" t="n">
        <v>0.0017</v>
      </c>
      <c r="AA176" s="2" t="n">
        <v>4</v>
      </c>
      <c r="AB176" s="2" t="n">
        <v>4</v>
      </c>
      <c r="AC176" s="3" t="n">
        <v>8</v>
      </c>
    </row>
    <row r="177">
      <c r="A177" s="7" t="inlineStr">
        <is>
          <t>Project</t>
        </is>
      </c>
      <c r="B177" s="7" t="inlineStr">
        <is>
          <t>battleship</t>
        </is>
      </c>
      <c r="C177" s="7" t="inlineStr">
        <is>
          <t>Position</t>
        </is>
      </c>
      <c r="D177" t="inlineStr">
        <is>
          <t>isOccupied()</t>
        </is>
      </c>
      <c r="E177" t="inlineStr">
        <is>
          <t>Position.isOccupied()</t>
        </is>
      </c>
      <c r="F177" s="8" t="n">
        <v>1</v>
      </c>
      <c r="G177" s="8" t="n">
        <v>0</v>
      </c>
      <c r="H177" s="8" t="n">
        <v>9</v>
      </c>
      <c r="I177" s="9">
        <f>IF(MAX($F$2:$F$194)=MIN($F$2:$F$194),0,(F177-MIN($F$2:$F$194))/(MAX($F$2:$F$194)-MIN($F$2:$F$194)))</f>
        <v/>
      </c>
      <c r="J177" s="9">
        <f>IF(MAX($G$2:$G$194)=MIN($G$2:$G$194),0,(G177-MIN($G$2:$G$194))/(MAX($G$2:$G$194)-MIN($G$2:$G$194)))</f>
        <v/>
      </c>
      <c r="K177" s="9">
        <f>IF(MAX($H$2:$H$194)=MIN($H$2:$H$194),0,(H177-MIN($H$2:$H$194))/(MAX($H$2:$H$194)-MIN($H$2:$H$194)))</f>
        <v/>
      </c>
      <c r="L177" s="9">
        <f>I177+J177+K177</f>
        <v/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1</v>
      </c>
      <c r="S177" s="2" t="n">
        <v>0</v>
      </c>
      <c r="T177" s="3" t="n">
        <v>0</v>
      </c>
      <c r="U177" s="2" t="n">
        <v>0</v>
      </c>
      <c r="V177" s="3" t="n">
        <v>1</v>
      </c>
      <c r="W177" s="3" t="n">
        <v>72.86069999999999</v>
      </c>
      <c r="X177" s="3" t="n">
        <v>1.5</v>
      </c>
      <c r="Y177" s="3" t="n">
        <v>12</v>
      </c>
      <c r="Z177" s="3" t="n">
        <v>0.0017</v>
      </c>
      <c r="AA177" s="2" t="n">
        <v>4</v>
      </c>
      <c r="AB177" s="2" t="n">
        <v>4</v>
      </c>
      <c r="AC177" s="3" t="n">
        <v>8</v>
      </c>
    </row>
    <row r="178">
      <c r="A178" s="7" t="inlineStr">
        <is>
          <t>Project</t>
        </is>
      </c>
      <c r="B178" s="7" t="inlineStr">
        <is>
          <t>battleship</t>
        </is>
      </c>
      <c r="C178" s="7" t="inlineStr">
        <is>
          <t>Position</t>
        </is>
      </c>
      <c r="D178" t="inlineStr">
        <is>
          <t>occupy()</t>
        </is>
      </c>
      <c r="E178" t="inlineStr">
        <is>
          <t>Position.occupy()</t>
        </is>
      </c>
      <c r="F178" s="8" t="n">
        <v>1</v>
      </c>
      <c r="G178" s="8" t="n">
        <v>0</v>
      </c>
      <c r="H178" s="8" t="n">
        <v>7</v>
      </c>
      <c r="I178" s="9">
        <f>IF(MAX($F$2:$F$194)=MIN($F$2:$F$194),0,(F178-MIN($F$2:$F$194))/(MAX($F$2:$F$194)-MIN($F$2:$F$194)))</f>
        <v/>
      </c>
      <c r="J178" s="9">
        <f>IF(MAX($G$2:$G$194)=MIN($G$2:$G$194),0,(G178-MIN($G$2:$G$194))/(MAX($G$2:$G$194)-MIN($G$2:$G$194)))</f>
        <v/>
      </c>
      <c r="K178" s="9">
        <f>IF(MAX($H$2:$H$194)=MIN($H$2:$H$194),0,(H178-MIN($H$2:$H$194))/(MAX($H$2:$H$194)-MIN($H$2:$H$194)))</f>
        <v/>
      </c>
      <c r="L178" s="9">
        <f>I178+J178+K178</f>
        <v/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1</v>
      </c>
      <c r="S178" s="2" t="n">
        <v>0</v>
      </c>
      <c r="T178" s="3" t="n">
        <v>0</v>
      </c>
      <c r="U178" s="2" t="n">
        <v>0</v>
      </c>
      <c r="V178" s="3" t="n">
        <v>1</v>
      </c>
      <c r="W178" s="3" t="n">
        <v>75.24160000000001</v>
      </c>
      <c r="X178" s="3" t="n">
        <v>1</v>
      </c>
      <c r="Y178" s="3" t="n">
        <v>8</v>
      </c>
      <c r="Z178" s="3" t="n">
        <v>0.0013</v>
      </c>
      <c r="AA178" s="2" t="n">
        <v>4</v>
      </c>
      <c r="AB178" s="2" t="n">
        <v>4</v>
      </c>
      <c r="AC178" s="3" t="n">
        <v>8</v>
      </c>
    </row>
    <row r="179">
      <c r="A179" s="7" t="inlineStr">
        <is>
          <t>Project</t>
        </is>
      </c>
      <c r="B179" s="7" t="inlineStr">
        <is>
          <t>battleship</t>
        </is>
      </c>
      <c r="C179" s="7" t="inlineStr">
        <is>
          <t>Position</t>
        </is>
      </c>
      <c r="D179" t="inlineStr">
        <is>
          <t>randomPosition()</t>
        </is>
      </c>
      <c r="E179" t="inlineStr">
        <is>
          <t>Position.randomPosition()</t>
        </is>
      </c>
      <c r="F179" s="8" t="n">
        <v>1</v>
      </c>
      <c r="G179" s="8" t="n">
        <v>0</v>
      </c>
      <c r="H179" s="8" t="n">
        <v>7</v>
      </c>
      <c r="I179" s="9">
        <f>IF(MAX($F$2:$F$194)=MIN($F$2:$F$194),0,(F179-MIN($F$2:$F$194))/(MAX($F$2:$F$194)-MIN($F$2:$F$194)))</f>
        <v/>
      </c>
      <c r="J179" s="9">
        <f>IF(MAX($G$2:$G$194)=MIN($G$2:$G$194),0,(G179-MIN($G$2:$G$194))/(MAX($G$2:$G$194)-MIN($G$2:$G$194)))</f>
        <v/>
      </c>
      <c r="K179" s="9">
        <f>IF(MAX($H$2:$H$194)=MIN($H$2:$H$194),0,(H179-MIN($H$2:$H$194))/(MAX($H$2:$H$194)-MIN($H$2:$H$194)))</f>
        <v/>
      </c>
      <c r="L179" s="9">
        <f>I179+J179+K179</f>
        <v/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3</v>
      </c>
      <c r="S179" s="2" t="n">
        <v>1</v>
      </c>
      <c r="T179" s="3" t="n">
        <v>1</v>
      </c>
      <c r="U179" s="2" t="n">
        <v>1</v>
      </c>
      <c r="V179" s="3" t="n">
        <v>0</v>
      </c>
      <c r="W179" s="3" t="n">
        <v>69.49169999999999</v>
      </c>
      <c r="X179" s="3" t="n">
        <v>4.6667</v>
      </c>
      <c r="Y179" s="3" t="n">
        <v>248.0373</v>
      </c>
      <c r="Z179" s="3" t="n">
        <v>0.0132</v>
      </c>
      <c r="AA179" s="2" t="n">
        <v>16</v>
      </c>
      <c r="AB179" s="2" t="n">
        <v>10</v>
      </c>
      <c r="AC179" s="3" t="n">
        <v>53.1508</v>
      </c>
    </row>
    <row r="180">
      <c r="A180" s="7" t="inlineStr">
        <is>
          <t>Project</t>
        </is>
      </c>
      <c r="B180" s="7" t="inlineStr">
        <is>
          <t>battleship</t>
        </is>
      </c>
      <c r="C180" s="7" t="inlineStr">
        <is>
          <t>Position</t>
        </is>
      </c>
      <c r="D180" t="inlineStr">
        <is>
          <t>shoot()</t>
        </is>
      </c>
      <c r="E180" t="inlineStr">
        <is>
          <t>Position.shoot()</t>
        </is>
      </c>
      <c r="F180" s="8" t="n">
        <v>1</v>
      </c>
      <c r="G180" s="8" t="n">
        <v>0</v>
      </c>
      <c r="H180" s="8" t="n">
        <v>7</v>
      </c>
      <c r="I180" s="9">
        <f>IF(MAX($F$2:$F$194)=MIN($F$2:$F$194),0,(F180-MIN($F$2:$F$194))/(MAX($F$2:$F$194)-MIN($F$2:$F$194)))</f>
        <v/>
      </c>
      <c r="J180" s="9">
        <f>IF(MAX($G$2:$G$194)=MIN($G$2:$G$194),0,(G180-MIN($G$2:$G$194))/(MAX($G$2:$G$194)-MIN($G$2:$G$194)))</f>
        <v/>
      </c>
      <c r="K180" s="9">
        <f>IF(MAX($H$2:$H$194)=MIN($H$2:$H$194),0,(H180-MIN($H$2:$H$194))/(MAX($H$2:$H$194)-MIN($H$2:$H$194)))</f>
        <v/>
      </c>
      <c r="L180" s="9">
        <f>I180+J180+K180</f>
        <v/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1</v>
      </c>
      <c r="S180" s="2" t="n">
        <v>0</v>
      </c>
      <c r="T180" s="3" t="n">
        <v>0</v>
      </c>
      <c r="U180" s="2" t="n">
        <v>0</v>
      </c>
      <c r="V180" s="3" t="n">
        <v>1</v>
      </c>
      <c r="W180" s="3" t="n">
        <v>75.24160000000001</v>
      </c>
      <c r="X180" s="3" t="n">
        <v>1</v>
      </c>
      <c r="Y180" s="3" t="n">
        <v>8</v>
      </c>
      <c r="Z180" s="3" t="n">
        <v>0.0013</v>
      </c>
      <c r="AA180" s="2" t="n">
        <v>4</v>
      </c>
      <c r="AB180" s="2" t="n">
        <v>4</v>
      </c>
      <c r="AC180" s="3" t="n">
        <v>8</v>
      </c>
    </row>
    <row r="181">
      <c r="A181" s="7" t="inlineStr">
        <is>
          <t>Project</t>
        </is>
      </c>
      <c r="B181" s="7" t="inlineStr">
        <is>
          <t>battleship</t>
        </is>
      </c>
      <c r="C181" s="7" t="inlineStr">
        <is>
          <t>Position</t>
        </is>
      </c>
      <c r="D181" t="inlineStr">
        <is>
          <t>toString()</t>
        </is>
      </c>
      <c r="E181" t="inlineStr">
        <is>
          <t>Position.toString()</t>
        </is>
      </c>
      <c r="F181" s="8" t="n">
        <v>1</v>
      </c>
      <c r="G181" s="8" t="n">
        <v>0</v>
      </c>
      <c r="H181" s="8" t="n">
        <v>11</v>
      </c>
      <c r="I181" s="9">
        <f>IF(MAX($F$2:$F$194)=MIN($F$2:$F$194),0,(F181-MIN($F$2:$F$194))/(MAX($F$2:$F$194)-MIN($F$2:$F$194)))</f>
        <v/>
      </c>
      <c r="J181" s="9">
        <f>IF(MAX($G$2:$G$194)=MIN($G$2:$G$194),0,(G181-MIN($G$2:$G$194))/(MAX($G$2:$G$194)-MIN($G$2:$G$194)))</f>
        <v/>
      </c>
      <c r="K181" s="9">
        <f>IF(MAX($H$2:$H$194)=MIN($H$2:$H$194),0,(H181-MIN($H$2:$H$194))/(MAX($H$2:$H$194)-MIN($H$2:$H$194)))</f>
        <v/>
      </c>
      <c r="L181" s="9">
        <f>I181+J181+K181</f>
        <v/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2</v>
      </c>
      <c r="S181" s="2" t="n">
        <v>0</v>
      </c>
      <c r="T181" s="3" t="n">
        <v>0</v>
      </c>
      <c r="U181" s="2" t="n">
        <v>0</v>
      </c>
      <c r="V181" s="3" t="n">
        <v>1</v>
      </c>
      <c r="W181" s="3" t="n">
        <v>66.84059999999999</v>
      </c>
      <c r="X181" s="3" t="n">
        <v>2</v>
      </c>
      <c r="Y181" s="3" t="n">
        <v>63.3985</v>
      </c>
      <c r="Z181" s="3" t="n">
        <v>0.0053</v>
      </c>
      <c r="AA181" s="2" t="n">
        <v>10</v>
      </c>
      <c r="AB181" s="2" t="n">
        <v>9</v>
      </c>
      <c r="AC181" s="3" t="n">
        <v>31.6993</v>
      </c>
    </row>
    <row r="182">
      <c r="A182" s="7" t="inlineStr">
        <is>
          <t>Project</t>
        </is>
      </c>
      <c r="B182" s="7" t="inlineStr">
        <is>
          <t>battleship</t>
        </is>
      </c>
      <c r="C182" s="7" t="inlineStr">
        <is>
          <t>Ship</t>
        </is>
      </c>
      <c r="D182" t="inlineStr">
        <is>
          <t>Ship(String, Compass, IPosition, int)</t>
        </is>
      </c>
      <c r="E182" t="inlineStr">
        <is>
          <t>Ship.Ship(String, Compass, IPosition, int)</t>
        </is>
      </c>
      <c r="F182" s="8" t="n">
        <v>1</v>
      </c>
      <c r="G182" s="8" t="n">
        <v>4</v>
      </c>
      <c r="H182" s="8" t="n">
        <v>19</v>
      </c>
      <c r="I182" s="9">
        <f>IF(MAX($F$2:$F$194)=MIN($F$2:$F$194),0,(F182-MIN($F$2:$F$194))/(MAX($F$2:$F$194)-MIN($F$2:$F$194)))</f>
        <v/>
      </c>
      <c r="J182" s="9">
        <f>IF(MAX($G$2:$G$194)=MIN($G$2:$G$194),0,(G182-MIN($G$2:$G$194))/(MAX($G$2:$G$194)-MIN($G$2:$G$194)))</f>
        <v/>
      </c>
      <c r="K182" s="9">
        <f>IF(MAX($H$2:$H$194)=MIN($H$2:$H$194),0,(H182-MIN($H$2:$H$194))/(MAX($H$2:$H$194)-MIN($H$2:$H$194)))</f>
        <v/>
      </c>
      <c r="L182" s="9">
        <f>I182+J182+K182</f>
        <v/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9</v>
      </c>
      <c r="S182" s="2" t="n">
        <v>1</v>
      </c>
      <c r="T182" s="3" t="n">
        <v>1</v>
      </c>
      <c r="U182" s="2" t="n">
        <v>0</v>
      </c>
      <c r="V182" s="3" t="n">
        <v>1</v>
      </c>
      <c r="W182" s="3" t="n">
        <v>57.3985</v>
      </c>
      <c r="X182" s="3" t="n">
        <v>3.75</v>
      </c>
      <c r="Y182" s="3" t="n">
        <v>475.1676</v>
      </c>
      <c r="Z182" s="3" t="n">
        <v>0.0203</v>
      </c>
      <c r="AA182" s="2" t="n">
        <v>31</v>
      </c>
      <c r="AB182" s="2" t="n">
        <v>17</v>
      </c>
      <c r="AC182" s="3" t="n">
        <v>126.7113</v>
      </c>
    </row>
    <row r="183">
      <c r="A183" s="7" t="inlineStr">
        <is>
          <t>Project</t>
        </is>
      </c>
      <c r="B183" s="7" t="inlineStr">
        <is>
          <t>battleship</t>
        </is>
      </c>
      <c r="C183" s="7" t="inlineStr">
        <is>
          <t>Ship</t>
        </is>
      </c>
      <c r="D183" t="inlineStr">
        <is>
          <t>getBearing()</t>
        </is>
      </c>
      <c r="E183" t="inlineStr">
        <is>
          <t>Ship.getBearing()</t>
        </is>
      </c>
      <c r="F183" s="8" t="n">
        <v>1</v>
      </c>
      <c r="G183" s="8" t="n">
        <v>0</v>
      </c>
      <c r="H183" s="8" t="n">
        <v>15</v>
      </c>
      <c r="I183" s="9">
        <f>IF(MAX($F$2:$F$194)=MIN($F$2:$F$194),0,(F183-MIN($F$2:$F$194))/(MAX($F$2:$F$194)-MIN($F$2:$F$194)))</f>
        <v/>
      </c>
      <c r="J183" s="9">
        <f>IF(MAX($G$2:$G$194)=MIN($G$2:$G$194),0,(G183-MIN($G$2:$G$194))/(MAX($G$2:$G$194)-MIN($G$2:$G$194)))</f>
        <v/>
      </c>
      <c r="K183" s="9">
        <f>IF(MAX($H$2:$H$194)=MIN($H$2:$H$194),0,(H183-MIN($H$2:$H$194))/(MAX($H$2:$H$194)-MIN($H$2:$H$194)))</f>
        <v/>
      </c>
      <c r="L183" s="9">
        <f>I183+J183+K183</f>
        <v/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1</v>
      </c>
      <c r="S183" s="2" t="n">
        <v>0</v>
      </c>
      <c r="T183" s="3" t="n">
        <v>0</v>
      </c>
      <c r="U183" s="2" t="n">
        <v>0</v>
      </c>
      <c r="V183" s="3" t="n">
        <v>1</v>
      </c>
      <c r="W183" s="3" t="n">
        <v>70.1292</v>
      </c>
      <c r="X183" s="3" t="n">
        <v>1</v>
      </c>
      <c r="Y183" s="3" t="n">
        <v>4.7549</v>
      </c>
      <c r="Z183" s="3" t="n">
        <v>0.0009</v>
      </c>
      <c r="AA183" s="2" t="n">
        <v>3</v>
      </c>
      <c r="AB183" s="2" t="n">
        <v>3</v>
      </c>
      <c r="AC183" s="3" t="n">
        <v>4.7549</v>
      </c>
    </row>
    <row r="184">
      <c r="A184" s="7" t="inlineStr">
        <is>
          <t>Project</t>
        </is>
      </c>
      <c r="B184" s="7" t="inlineStr">
        <is>
          <t>battleship</t>
        </is>
      </c>
      <c r="C184" s="7" t="inlineStr">
        <is>
          <t>Ship</t>
        </is>
      </c>
      <c r="D184" t="inlineStr">
        <is>
          <t>getCategory()</t>
        </is>
      </c>
      <c r="E184" t="inlineStr">
        <is>
          <t>Ship.getCategory()</t>
        </is>
      </c>
      <c r="F184" s="8" t="n">
        <v>1</v>
      </c>
      <c r="G184" s="8" t="n">
        <v>0</v>
      </c>
      <c r="H184" s="8" t="n">
        <v>15</v>
      </c>
      <c r="I184" s="9">
        <f>IF(MAX($F$2:$F$194)=MIN($F$2:$F$194),0,(F184-MIN($F$2:$F$194))/(MAX($F$2:$F$194)-MIN($F$2:$F$194)))</f>
        <v/>
      </c>
      <c r="J184" s="9">
        <f>IF(MAX($G$2:$G$194)=MIN($G$2:$G$194),0,(G184-MIN($G$2:$G$194))/(MAX($G$2:$G$194)-MIN($G$2:$G$194)))</f>
        <v/>
      </c>
      <c r="K184" s="9">
        <f>IF(MAX($H$2:$H$194)=MIN($H$2:$H$194),0,(H184-MIN($H$2:$H$194))/(MAX($H$2:$H$194)-MIN($H$2:$H$194)))</f>
        <v/>
      </c>
      <c r="L184" s="9">
        <f>I184+J184+K184</f>
        <v/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1</v>
      </c>
      <c r="S184" s="2" t="n">
        <v>0</v>
      </c>
      <c r="T184" s="3" t="n">
        <v>0</v>
      </c>
      <c r="U184" s="2" t="n">
        <v>0</v>
      </c>
      <c r="V184" s="3" t="n">
        <v>1</v>
      </c>
      <c r="W184" s="3" t="n">
        <v>70.1292</v>
      </c>
      <c r="X184" s="3" t="n">
        <v>1</v>
      </c>
      <c r="Y184" s="3" t="n">
        <v>4.7549</v>
      </c>
      <c r="Z184" s="3" t="n">
        <v>0.0009</v>
      </c>
      <c r="AA184" s="2" t="n">
        <v>3</v>
      </c>
      <c r="AB184" s="2" t="n">
        <v>3</v>
      </c>
      <c r="AC184" s="3" t="n">
        <v>4.7549</v>
      </c>
    </row>
    <row r="185">
      <c r="A185" s="7" t="inlineStr">
        <is>
          <t>Project</t>
        </is>
      </c>
      <c r="B185" s="7" t="inlineStr">
        <is>
          <t>battleship</t>
        </is>
      </c>
      <c r="C185" s="7" t="inlineStr">
        <is>
          <t>Ship</t>
        </is>
      </c>
      <c r="D185" t="inlineStr">
        <is>
          <t>getPosition()</t>
        </is>
      </c>
      <c r="E185" t="inlineStr">
        <is>
          <t>Ship.getPosition()</t>
        </is>
      </c>
      <c r="F185" s="8" t="n">
        <v>1</v>
      </c>
      <c r="G185" s="8" t="n">
        <v>0</v>
      </c>
      <c r="H185" s="8" t="n">
        <v>15</v>
      </c>
      <c r="I185" s="9">
        <f>IF(MAX($F$2:$F$194)=MIN($F$2:$F$194),0,(F185-MIN($F$2:$F$194))/(MAX($F$2:$F$194)-MIN($F$2:$F$194)))</f>
        <v/>
      </c>
      <c r="J185" s="9">
        <f>IF(MAX($G$2:$G$194)=MIN($G$2:$G$194),0,(G185-MIN($G$2:$G$194))/(MAX($G$2:$G$194)-MIN($G$2:$G$194)))</f>
        <v/>
      </c>
      <c r="K185" s="9">
        <f>IF(MAX($H$2:$H$194)=MIN($H$2:$H$194),0,(H185-MIN($H$2:$H$194))/(MAX($H$2:$H$194)-MIN($H$2:$H$194)))</f>
        <v/>
      </c>
      <c r="L185" s="9">
        <f>I185+J185+K185</f>
        <v/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1</v>
      </c>
      <c r="S185" s="2" t="n">
        <v>0</v>
      </c>
      <c r="T185" s="3" t="n">
        <v>0</v>
      </c>
      <c r="U185" s="2" t="n">
        <v>0</v>
      </c>
      <c r="V185" s="3" t="n">
        <v>1</v>
      </c>
      <c r="W185" s="3" t="n">
        <v>70.1292</v>
      </c>
      <c r="X185" s="3" t="n">
        <v>1</v>
      </c>
      <c r="Y185" s="3" t="n">
        <v>4.7549</v>
      </c>
      <c r="Z185" s="3" t="n">
        <v>0.0009</v>
      </c>
      <c r="AA185" s="2" t="n">
        <v>3</v>
      </c>
      <c r="AB185" s="2" t="n">
        <v>3</v>
      </c>
      <c r="AC185" s="3" t="n">
        <v>4.7549</v>
      </c>
    </row>
    <row r="186">
      <c r="A186" s="7" t="inlineStr">
        <is>
          <t>Project</t>
        </is>
      </c>
      <c r="B186" s="7" t="inlineStr">
        <is>
          <t>battleship</t>
        </is>
      </c>
      <c r="C186" s="7" t="inlineStr">
        <is>
          <t>Ship</t>
        </is>
      </c>
      <c r="D186" t="inlineStr">
        <is>
          <t>getPositions()</t>
        </is>
      </c>
      <c r="E186" t="inlineStr">
        <is>
          <t>Ship.getPositions()</t>
        </is>
      </c>
      <c r="F186" s="8" t="n">
        <v>1</v>
      </c>
      <c r="G186" s="8" t="n">
        <v>0</v>
      </c>
      <c r="H186" s="8" t="n">
        <v>9</v>
      </c>
      <c r="I186" s="9">
        <f>IF(MAX($F$2:$F$194)=MIN($F$2:$F$194),0,(F186-MIN($F$2:$F$194))/(MAX($F$2:$F$194)-MIN($F$2:$F$194)))</f>
        <v/>
      </c>
      <c r="J186" s="9">
        <f>IF(MAX($G$2:$G$194)=MIN($G$2:$G$194),0,(G186-MIN($G$2:$G$194))/(MAX($G$2:$G$194)-MIN($G$2:$G$194)))</f>
        <v/>
      </c>
      <c r="K186" s="9">
        <f>IF(MAX($H$2:$H$194)=MIN($H$2:$H$194),0,(H186-MIN($H$2:$H$194))/(MAX($H$2:$H$194)-MIN($H$2:$H$194)))</f>
        <v/>
      </c>
      <c r="L186" s="9">
        <f>I186+J186+K186</f>
        <v/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1</v>
      </c>
      <c r="S186" s="2" t="n">
        <v>0</v>
      </c>
      <c r="T186" s="3" t="n">
        <v>0</v>
      </c>
      <c r="U186" s="2" t="n">
        <v>0</v>
      </c>
      <c r="V186" s="3" t="n">
        <v>1</v>
      </c>
      <c r="W186" s="3" t="n">
        <v>74.9686</v>
      </c>
      <c r="X186" s="3" t="n">
        <v>1</v>
      </c>
      <c r="Y186" s="3" t="n">
        <v>4.7549</v>
      </c>
      <c r="Z186" s="3" t="n">
        <v>0.0009</v>
      </c>
      <c r="AA186" s="2" t="n">
        <v>3</v>
      </c>
      <c r="AB186" s="2" t="n">
        <v>3</v>
      </c>
      <c r="AC186" s="3" t="n">
        <v>4.7549</v>
      </c>
    </row>
    <row r="187">
      <c r="A187" s="7" t="inlineStr">
        <is>
          <t>Project</t>
        </is>
      </c>
      <c r="B187" s="7" t="inlineStr">
        <is>
          <t>battleship</t>
        </is>
      </c>
      <c r="C187" s="7" t="inlineStr">
        <is>
          <t>Ship</t>
        </is>
      </c>
      <c r="D187" t="inlineStr">
        <is>
          <t>getSize()</t>
        </is>
      </c>
      <c r="E187" t="inlineStr">
        <is>
          <t>Ship.getSize()</t>
        </is>
      </c>
      <c r="F187" s="8" t="n">
        <v>1</v>
      </c>
      <c r="G187" s="8" t="n">
        <v>0</v>
      </c>
      <c r="H187" s="8" t="n">
        <v>9</v>
      </c>
      <c r="I187" s="9">
        <f>IF(MAX($F$2:$F$194)=MIN($F$2:$F$194),0,(F187-MIN($F$2:$F$194))/(MAX($F$2:$F$194)-MIN($F$2:$F$194)))</f>
        <v/>
      </c>
      <c r="J187" s="9">
        <f>IF(MAX($G$2:$G$194)=MIN($G$2:$G$194),0,(G187-MIN($G$2:$G$194))/(MAX($G$2:$G$194)-MIN($G$2:$G$194)))</f>
        <v/>
      </c>
      <c r="K187" s="9">
        <f>IF(MAX($H$2:$H$194)=MIN($H$2:$H$194),0,(H187-MIN($H$2:$H$194))/(MAX($H$2:$H$194)-MIN($H$2:$H$194)))</f>
        <v/>
      </c>
      <c r="L187" s="9">
        <f>I187+J187+K187</f>
        <v/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1</v>
      </c>
      <c r="S187" s="2" t="n">
        <v>0</v>
      </c>
      <c r="T187" s="3" t="n">
        <v>0</v>
      </c>
      <c r="U187" s="2" t="n">
        <v>0</v>
      </c>
      <c r="V187" s="3" t="n">
        <v>1</v>
      </c>
      <c r="W187" s="3" t="n">
        <v>74.9686</v>
      </c>
      <c r="X187" s="3" t="n">
        <v>1</v>
      </c>
      <c r="Y187" s="3" t="n">
        <v>4.7549</v>
      </c>
      <c r="Z187" s="3" t="n">
        <v>0.0009</v>
      </c>
      <c r="AA187" s="2" t="n">
        <v>3</v>
      </c>
      <c r="AB187" s="2" t="n">
        <v>3</v>
      </c>
      <c r="AC187" s="3" t="n">
        <v>4.7549</v>
      </c>
    </row>
    <row r="188">
      <c r="A188" s="7" t="inlineStr">
        <is>
          <t>Project</t>
        </is>
      </c>
      <c r="B188" s="7" t="inlineStr">
        <is>
          <t>battleship</t>
        </is>
      </c>
      <c r="C188" s="7" t="inlineStr">
        <is>
          <t>Ship</t>
        </is>
      </c>
      <c r="D188" t="inlineStr">
        <is>
          <t>toString()</t>
        </is>
      </c>
      <c r="E188" t="inlineStr">
        <is>
          <t>Ship.toString()</t>
        </is>
      </c>
      <c r="F188" s="8" t="n">
        <v>1</v>
      </c>
      <c r="G188" s="8" t="n">
        <v>0</v>
      </c>
      <c r="H188" s="8" t="n">
        <v>10</v>
      </c>
      <c r="I188" s="9">
        <f>IF(MAX($F$2:$F$194)=MIN($F$2:$F$194),0,(F188-MIN($F$2:$F$194))/(MAX($F$2:$F$194)-MIN($F$2:$F$194)))</f>
        <v/>
      </c>
      <c r="J188" s="9">
        <f>IF(MAX($G$2:$G$194)=MIN($G$2:$G$194),0,(G188-MIN($G$2:$G$194))/(MAX($G$2:$G$194)-MIN($G$2:$G$194)))</f>
        <v/>
      </c>
      <c r="K188" s="9">
        <f>IF(MAX($H$2:$H$194)=MIN($H$2:$H$194),0,(H188-MIN($H$2:$H$194))/(MAX($H$2:$H$194)-MIN($H$2:$H$194)))</f>
        <v/>
      </c>
      <c r="L188" s="9">
        <f>I188+J188+K188</f>
        <v/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3</v>
      </c>
      <c r="S188" s="2" t="n">
        <v>0</v>
      </c>
      <c r="T188" s="3" t="n">
        <v>0</v>
      </c>
      <c r="U188" s="2" t="n">
        <v>0</v>
      </c>
      <c r="V188" s="3" t="n">
        <v>1</v>
      </c>
      <c r="W188" s="3" t="n">
        <v>68.2784</v>
      </c>
      <c r="X188" s="3" t="n">
        <v>1.1667</v>
      </c>
      <c r="Y188" s="3" t="n">
        <v>31.5</v>
      </c>
      <c r="Z188" s="3" t="n">
        <v>0.0033</v>
      </c>
      <c r="AA188" s="2" t="n">
        <v>9</v>
      </c>
      <c r="AB188" s="2" t="n">
        <v>8</v>
      </c>
      <c r="AC188" s="3" t="n">
        <v>27</v>
      </c>
    </row>
    <row r="189">
      <c r="A189" s="7" t="inlineStr">
        <is>
          <t>Project</t>
        </is>
      </c>
      <c r="B189" s="7" t="inlineStr">
        <is>
          <t>battleship</t>
        </is>
      </c>
      <c r="C189" s="7" t="inlineStr">
        <is>
          <t>ShotSummary</t>
        </is>
      </c>
      <c r="D189" t="inlineStr">
        <is>
          <t>ShotSummary(String, String)</t>
        </is>
      </c>
      <c r="E189" t="inlineStr">
        <is>
          <t>ShotSummary.ShotSummary(String, String)</t>
        </is>
      </c>
      <c r="F189" s="8" t="n">
        <v>1</v>
      </c>
      <c r="G189" s="8" t="n">
        <v>2</v>
      </c>
      <c r="H189" s="8" t="n">
        <v>2</v>
      </c>
      <c r="I189" s="9">
        <f>IF(MAX($F$2:$F$194)=MIN($F$2:$F$194),0,(F189-MIN($F$2:$F$194))/(MAX($F$2:$F$194)-MIN($F$2:$F$194)))</f>
        <v/>
      </c>
      <c r="J189" s="9">
        <f>IF(MAX($G$2:$G$194)=MIN($G$2:$G$194),0,(G189-MIN($G$2:$G$194))/(MAX($G$2:$G$194)-MIN($G$2:$G$194)))</f>
        <v/>
      </c>
      <c r="K189" s="9">
        <f>IF(MAX($H$2:$H$194)=MIN($H$2:$H$194),0,(H189-MIN($H$2:$H$194))/(MAX($H$2:$H$194)-MIN($H$2:$H$194)))</f>
        <v/>
      </c>
      <c r="L189" s="9">
        <f>I189+J189+K189</f>
        <v/>
      </c>
      <c r="M189" s="2" t="n">
        <v>0</v>
      </c>
      <c r="N189" s="2" t="n">
        <v>0</v>
      </c>
      <c r="O189" s="2" t="n">
        <v>-1</v>
      </c>
      <c r="P189" s="2" t="n">
        <v>0</v>
      </c>
      <c r="Q189" s="2" t="n">
        <v>0</v>
      </c>
      <c r="R189" s="2" t="n">
        <v>0</v>
      </c>
      <c r="S189" s="2" t="n">
        <v>0</v>
      </c>
      <c r="T189" s="3" t="n">
        <v>0</v>
      </c>
      <c r="U189" s="2" t="n">
        <v>0</v>
      </c>
      <c r="V189" s="3" t="n">
        <v>0</v>
      </c>
      <c r="W189" t="inlineStr">
        <is>
          <t>∞</t>
        </is>
      </c>
      <c r="X189" s="3" t="n">
        <v>0</v>
      </c>
      <c r="Y189" t="inlineStr">
        <is>
          <t>NaN</t>
        </is>
      </c>
      <c r="Z189" t="inlineStr">
        <is>
          <t>NaN</t>
        </is>
      </c>
      <c r="AA189" s="2" t="n">
        <v>0</v>
      </c>
      <c r="AB189" s="2" t="n">
        <v>0</v>
      </c>
      <c r="AC189" t="inlineStr">
        <is>
          <t>NaN</t>
        </is>
      </c>
    </row>
    <row r="190">
      <c r="A190" s="7" t="inlineStr">
        <is>
          <t>Project</t>
        </is>
      </c>
      <c r="B190" s="7" t="inlineStr">
        <is>
          <t>battleship</t>
        </is>
      </c>
      <c r="C190" s="7" t="inlineStr">
        <is>
          <t>ShotSummary</t>
        </is>
      </c>
      <c r="D190" t="inlineStr">
        <is>
          <t>outcome()</t>
        </is>
      </c>
      <c r="E190" t="inlineStr">
        <is>
          <t>ShotSummary.outcome()</t>
        </is>
      </c>
      <c r="F190" s="8" t="n">
        <v>1</v>
      </c>
      <c r="G190" s="8" t="n">
        <v>0</v>
      </c>
      <c r="H190" s="8" t="n">
        <v>1</v>
      </c>
      <c r="I190" s="9">
        <f>IF(MAX($F$2:$F$194)=MIN($F$2:$F$194),0,(F190-MIN($F$2:$F$194))/(MAX($F$2:$F$194)-MIN($F$2:$F$194)))</f>
        <v/>
      </c>
      <c r="J190" s="9">
        <f>IF(MAX($G$2:$G$194)=MIN($G$2:$G$194),0,(G190-MIN($G$2:$G$194))/(MAX($G$2:$G$194)-MIN($G$2:$G$194)))</f>
        <v/>
      </c>
      <c r="K190" s="9">
        <f>IF(MAX($H$2:$H$194)=MIN($H$2:$H$194),0,(H190-MIN($H$2:$H$194))/(MAX($H$2:$H$194)-MIN($H$2:$H$194)))</f>
        <v/>
      </c>
      <c r="L190" s="9">
        <f>I190+J190+K190</f>
        <v/>
      </c>
      <c r="M190" s="2" t="n">
        <v>0</v>
      </c>
      <c r="N190" s="2" t="n">
        <v>0</v>
      </c>
      <c r="O190" s="2" t="n">
        <v>-1</v>
      </c>
      <c r="P190" s="2" t="n">
        <v>0</v>
      </c>
      <c r="Q190" s="2" t="n">
        <v>0</v>
      </c>
      <c r="R190" s="2" t="n">
        <v>0</v>
      </c>
      <c r="S190" s="2" t="n">
        <v>0</v>
      </c>
      <c r="T190" s="3" t="n">
        <v>0</v>
      </c>
      <c r="U190" s="2" t="n">
        <v>0</v>
      </c>
      <c r="V190" s="3" t="n">
        <v>0</v>
      </c>
      <c r="W190" t="inlineStr">
        <is>
          <t>∞</t>
        </is>
      </c>
      <c r="X190" s="3" t="n">
        <v>0</v>
      </c>
      <c r="Y190" t="inlineStr">
        <is>
          <t>NaN</t>
        </is>
      </c>
      <c r="Z190" t="inlineStr">
        <is>
          <t>NaN</t>
        </is>
      </c>
      <c r="AA190" s="2" t="n">
        <v>0</v>
      </c>
      <c r="AB190" s="2" t="n">
        <v>0</v>
      </c>
      <c r="AC190" t="inlineStr">
        <is>
          <t>NaN</t>
        </is>
      </c>
    </row>
    <row r="191">
      <c r="A191" s="7" t="inlineStr">
        <is>
          <t>Project</t>
        </is>
      </c>
      <c r="B191" s="7" t="inlineStr">
        <is>
          <t>battleship</t>
        </is>
      </c>
      <c r="C191" s="7" t="inlineStr">
        <is>
          <t>ShotSummary</t>
        </is>
      </c>
      <c r="D191" t="inlineStr">
        <is>
          <t>position()</t>
        </is>
      </c>
      <c r="E191" t="inlineStr">
        <is>
          <t>ShotSummary.position()</t>
        </is>
      </c>
      <c r="F191" s="8" t="n">
        <v>1</v>
      </c>
      <c r="G191" s="8" t="n">
        <v>0</v>
      </c>
      <c r="H191" s="8" t="n">
        <v>1</v>
      </c>
      <c r="I191" s="9">
        <f>IF(MAX($F$2:$F$194)=MIN($F$2:$F$194),0,(F191-MIN($F$2:$F$194))/(MAX($F$2:$F$194)-MIN($F$2:$F$194)))</f>
        <v/>
      </c>
      <c r="J191" s="9">
        <f>IF(MAX($G$2:$G$194)=MIN($G$2:$G$194),0,(G191-MIN($G$2:$G$194))/(MAX($G$2:$G$194)-MIN($G$2:$G$194)))</f>
        <v/>
      </c>
      <c r="K191" s="9">
        <f>IF(MAX($H$2:$H$194)=MIN($H$2:$H$194),0,(H191-MIN($H$2:$H$194))/(MAX($H$2:$H$194)-MIN($H$2:$H$194)))</f>
        <v/>
      </c>
      <c r="L191" s="9">
        <f>I191+J191+K191</f>
        <v/>
      </c>
      <c r="M191" s="2" t="n">
        <v>0</v>
      </c>
      <c r="N191" s="2" t="n">
        <v>0</v>
      </c>
      <c r="O191" s="2" t="n">
        <v>-1</v>
      </c>
      <c r="P191" s="2" t="n">
        <v>0</v>
      </c>
      <c r="Q191" s="2" t="n">
        <v>0</v>
      </c>
      <c r="R191" s="2" t="n">
        <v>0</v>
      </c>
      <c r="S191" s="2" t="n">
        <v>0</v>
      </c>
      <c r="T191" s="3" t="n">
        <v>0</v>
      </c>
      <c r="U191" s="2" t="n">
        <v>0</v>
      </c>
      <c r="V191" s="3" t="n">
        <v>0</v>
      </c>
      <c r="W191" t="inlineStr">
        <is>
          <t>∞</t>
        </is>
      </c>
      <c r="X191" s="3" t="n">
        <v>0</v>
      </c>
      <c r="Y191" t="inlineStr">
        <is>
          <t>NaN</t>
        </is>
      </c>
      <c r="Z191" t="inlineStr">
        <is>
          <t>NaN</t>
        </is>
      </c>
      <c r="AA191" s="2" t="n">
        <v>0</v>
      </c>
      <c r="AB191" s="2" t="n">
        <v>0</v>
      </c>
      <c r="AC191" t="inlineStr">
        <is>
          <t>NaN</t>
        </is>
      </c>
    </row>
    <row r="192">
      <c r="A192" s="7" t="inlineStr">
        <is>
          <t>Project</t>
        </is>
      </c>
      <c r="B192" s="7" t="inlineStr">
        <is>
          <t>battleship</t>
        </is>
      </c>
      <c r="C192" s="7" t="inlineStr">
        <is>
          <t>Tasks</t>
        </is>
      </c>
      <c r="D192" t="inlineStr">
        <is>
          <t>menuHelp()</t>
        </is>
      </c>
      <c r="E192" t="inlineStr">
        <is>
          <t>Tasks.menuHelp()</t>
        </is>
      </c>
      <c r="F192" s="8" t="n">
        <v>1</v>
      </c>
      <c r="G192" s="8" t="n">
        <v>0</v>
      </c>
      <c r="H192" s="8" t="n">
        <v>16</v>
      </c>
      <c r="I192" s="9">
        <f>IF(MAX($F$2:$F$194)=MIN($F$2:$F$194),0,(F192-MIN($F$2:$F$194))/(MAX($F$2:$F$194)-MIN($F$2:$F$194)))</f>
        <v/>
      </c>
      <c r="J192" s="9">
        <f>IF(MAX($G$2:$G$194)=MIN($G$2:$G$194),0,(G192-MIN($G$2:$G$194))/(MAX($G$2:$G$194)-MIN($G$2:$G$194)))</f>
        <v/>
      </c>
      <c r="K192" s="9">
        <f>IF(MAX($H$2:$H$194)=MIN($H$2:$H$194),0,(H192-MIN($H$2:$H$194))/(MAX($H$2:$H$194)-MIN($H$2:$H$194)))</f>
        <v/>
      </c>
      <c r="L192" s="9">
        <f>I192+J192+K192</f>
        <v/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9</v>
      </c>
      <c r="S192" s="2" t="n">
        <v>1</v>
      </c>
      <c r="T192" s="3" t="n">
        <v>1</v>
      </c>
      <c r="U192" s="2" t="n">
        <v>1</v>
      </c>
      <c r="V192" s="3" t="n">
        <v>0.8889</v>
      </c>
      <c r="W192" s="3" t="n">
        <v>57.0545</v>
      </c>
      <c r="X192" s="3" t="n">
        <v>3.619</v>
      </c>
      <c r="Y192" s="3" t="n">
        <v>873.9295</v>
      </c>
      <c r="Z192" s="3" t="n">
        <v>0.0305</v>
      </c>
      <c r="AA192" s="2" t="n">
        <v>52</v>
      </c>
      <c r="AB192" s="2" t="n">
        <v>25</v>
      </c>
      <c r="AC192" s="3" t="n">
        <v>241.4805</v>
      </c>
    </row>
    <row r="193">
      <c r="A193" s="7" t="inlineStr">
        <is>
          <t>Project</t>
        </is>
      </c>
      <c r="B193" s="7" t="inlineStr">
        <is>
          <t>battleship</t>
        </is>
      </c>
      <c r="C193" s="7" t="inlineStr">
        <is>
          <t>Tasks</t>
        </is>
      </c>
      <c r="D193" t="inlineStr">
        <is>
          <t>readPosition(Scanner)</t>
        </is>
      </c>
      <c r="E193" t="inlineStr">
        <is>
          <t>Tasks.readPosition(Scanner)</t>
        </is>
      </c>
      <c r="F193" s="8" t="n">
        <v>1</v>
      </c>
      <c r="G193" s="8" t="n">
        <v>1</v>
      </c>
      <c r="H193" s="8" t="n">
        <v>12</v>
      </c>
      <c r="I193" s="9">
        <f>IF(MAX($F$2:$F$194)=MIN($F$2:$F$194),0,(F193-MIN($F$2:$F$194))/(MAX($F$2:$F$194)-MIN($F$2:$F$194)))</f>
        <v/>
      </c>
      <c r="J193" s="9">
        <f>IF(MAX($G$2:$G$194)=MIN($G$2:$G$194),0,(G193-MIN($G$2:$G$194))/(MAX($G$2:$G$194)-MIN($G$2:$G$194)))</f>
        <v/>
      </c>
      <c r="K193" s="9">
        <f>IF(MAX($H$2:$H$194)=MIN($H$2:$H$194),0,(H193-MIN($H$2:$H$194))/(MAX($H$2:$H$194)-MIN($H$2:$H$194)))</f>
        <v/>
      </c>
      <c r="L193" s="9">
        <f>I193+J193+K193</f>
        <v/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3</v>
      </c>
      <c r="S193" s="2" t="n">
        <v>1</v>
      </c>
      <c r="T193" s="3" t="n">
        <v>1</v>
      </c>
      <c r="U193" s="2" t="n">
        <v>0</v>
      </c>
      <c r="V193" s="3" t="n">
        <v>0</v>
      </c>
      <c r="W193" s="3" t="n">
        <v>64.1641</v>
      </c>
      <c r="X193" s="3" t="n">
        <v>6</v>
      </c>
      <c r="Y193" s="3" t="n">
        <v>344.1564</v>
      </c>
      <c r="Z193" s="3" t="n">
        <v>0.0164</v>
      </c>
      <c r="AA193" s="2" t="n">
        <v>16</v>
      </c>
      <c r="AB193" s="2" t="n">
        <v>12</v>
      </c>
      <c r="AC193" s="3" t="n">
        <v>57.3594</v>
      </c>
    </row>
    <row r="194">
      <c r="A194" s="7" t="inlineStr">
        <is>
          <t>Project</t>
        </is>
      </c>
      <c r="B194" s="7" t="inlineStr">
        <is>
          <t>battleship</t>
        </is>
      </c>
      <c r="C194" s="7" t="inlineStr">
        <is>
          <t>Tasks</t>
        </is>
      </c>
      <c r="D194" t="inlineStr">
        <is>
          <t>readShip(Scanner)</t>
        </is>
      </c>
      <c r="E194" t="inlineStr">
        <is>
          <t>Tasks.readShip(Scanner)</t>
        </is>
      </c>
      <c r="F194" s="8" t="n">
        <v>1</v>
      </c>
      <c r="G194" s="8" t="n">
        <v>1</v>
      </c>
      <c r="H194" s="8" t="n">
        <v>14</v>
      </c>
      <c r="I194" s="9">
        <f>IF(MAX($F$2:$F$194)=MIN($F$2:$F$194),0,(F194-MIN($F$2:$F$194))/(MAX($F$2:$F$194)-MIN($F$2:$F$194)))</f>
        <v/>
      </c>
      <c r="J194" s="9">
        <f>IF(MAX($G$2:$G$194)=MIN($G$2:$G$194),0,(G194-MIN($G$2:$G$194))/(MAX($G$2:$G$194)-MIN($G$2:$G$194)))</f>
        <v/>
      </c>
      <c r="K194" s="9">
        <f>IF(MAX($H$2:$H$194)=MIN($H$2:$H$194),0,(H194-MIN($H$2:$H$194))/(MAX($H$2:$H$194)-MIN($H$2:$H$194)))</f>
        <v/>
      </c>
      <c r="L194" s="9">
        <f>I194+J194+K194</f>
        <v/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5</v>
      </c>
      <c r="S194" s="2" t="n">
        <v>4</v>
      </c>
      <c r="T194" s="3" t="n">
        <v>0.8</v>
      </c>
      <c r="U194" s="2" t="n">
        <v>0</v>
      </c>
      <c r="V194" s="3" t="n">
        <v>0</v>
      </c>
      <c r="W194" s="3" t="n">
        <v>61.2812</v>
      </c>
      <c r="X194" s="3" t="n">
        <v>7.8571</v>
      </c>
      <c r="Y194" s="3" t="n">
        <v>720.8013</v>
      </c>
      <c r="Z194" s="3" t="n">
        <v>0.0268</v>
      </c>
      <c r="AA194" s="2" t="n">
        <v>22</v>
      </c>
      <c r="AB194" s="2" t="n">
        <v>18</v>
      </c>
      <c r="AC194" s="3" t="n">
        <v>91.7384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2026-04-08T18:18:37Z</dcterms:created>
  <dcterms:modified xmlns:dcterms="http://purl.org/dc/terms/" xmlns:xsi="http://www.w3.org/2001/XMLSchema-instance" xsi:type="dcterms:W3CDTF">2026-04-08T18:18:37Z</dcterms:modified>
</cp:coreProperties>
</file>